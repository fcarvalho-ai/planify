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c9f93a71a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6836df2e4d44a0"/>
    <x:sheet xmlns:r="http://schemas.openxmlformats.org/officeDocument/2006/relationships" name="Backlog" sheetId="2" r:id="R8912a146f80842cc"/>
    <x:sheet xmlns:r="http://schemas.openxmlformats.org/officeDocument/2006/relationships" name="Epics" sheetId="3" r:id="Rb2445cf982f2499b"/>
    <x:sheet xmlns:r="http://schemas.openxmlformats.org/officeDocument/2006/relationships" name="Releases" sheetId="4" r:id="R64f93bb7f25b4d7b"/>
    <x:sheet xmlns:r="http://schemas.openxmlformats.org/officeDocument/2006/relationships" name="QA &amp; DoD" sheetId="5" r:id="R69e7e7fd32ba4cee"/>
    <x:sheet xmlns:r="http://schemas.openxmlformats.org/officeDocument/2006/relationships" name="Listes" sheetId="6" r:id="Rf5ba199a5f264a97"/>
    <x:sheet xmlns:r="http://schemas.openxmlformats.org/officeDocument/2006/relationships" name="Plan V1" sheetId="7" r:id="R20563cd269044ed0"/>
    <x:sheet xmlns:r="http://schemas.openxmlformats.org/officeDocument/2006/relationships" name="Equipe V1" sheetId="8" r:id="Rfc995fa60b4a4e9b"/>
    <x:sheet xmlns:r="http://schemas.openxmlformats.org/officeDocument/2006/relationships" name="Gates V1" sheetId="9" r:id="Reb8c77185cb34f48"/>
    <x:sheet xmlns:r="http://schemas.openxmlformats.org/officeDocument/2006/relationships" name="Lancement V1" sheetId="10" r:id="R760aa856b96a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>
          <x:bgColor rgb="FFC6E0B4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08767c11e4c56" /><Relationship Type="http://schemas.openxmlformats.org/officeDocument/2006/relationships/theme" Target="/xl/theme/theme1.xml" Id="R3734917d3dab4a83" /><Relationship Type="http://schemas.openxmlformats.org/officeDocument/2006/relationships/sharedStrings" Target="/xl/sharedStrings.xml" Id="R3961d89de7164106" /><Relationship Type="http://schemas.openxmlformats.org/officeDocument/2006/relationships/worksheet" Target="/xl/worksheets/sheet1.xml" Id="R806836df2e4d44a0" /><Relationship Type="http://schemas.openxmlformats.org/officeDocument/2006/relationships/worksheet" Target="/xl/worksheets/sheet2.xml" Id="R8912a146f80842cc" /><Relationship Type="http://schemas.openxmlformats.org/officeDocument/2006/relationships/worksheet" Target="/xl/worksheets/sheet3.xml" Id="Rb2445cf982f2499b" /><Relationship Type="http://schemas.openxmlformats.org/officeDocument/2006/relationships/worksheet" Target="/xl/worksheets/sheet4.xml" Id="R64f93bb7f25b4d7b" /><Relationship Type="http://schemas.openxmlformats.org/officeDocument/2006/relationships/worksheet" Target="/xl/worksheets/sheet5.xml" Id="R69e7e7fd32ba4cee" /><Relationship Type="http://schemas.openxmlformats.org/officeDocument/2006/relationships/worksheet" Target="/xl/worksheets/sheet6.xml" Id="Rf5ba199a5f264a97" /><Relationship Type="http://schemas.openxmlformats.org/officeDocument/2006/relationships/worksheet" Target="/xl/worksheets/sheet7.xml" Id="R20563cd269044ed0" /><Relationship Type="http://schemas.openxmlformats.org/officeDocument/2006/relationships/worksheet" Target="/xl/worksheets/sheet8.xml" Id="Rfc995fa60b4a4e9b" /><Relationship Type="http://schemas.openxmlformats.org/officeDocument/2006/relationships/worksheet" Target="/xl/worksheets/sheet9.xml" Id="Reb8c77185cb34f48" /><Relationship Type="http://schemas.openxmlformats.org/officeDocument/2006/relationships/worksheet" Target="/xl/worksheets/sheet10.xml" Id="R760aa856b96a42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0d6ae2551e4e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Charge par release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Stories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Points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0d6ae2551e4e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Table" displayName="BacklogTable" ref="A1:P126" headerRowCount="1" totalsRowCount="0" totalsRowShown="0">
  <x:tableColumns count="16">
    <x:tableColumn id="1" name="ID"/>
    <x:tableColumn id="2" name="Epic"/>
    <x:tableColumn id="3" name="Feature"/>
    <x:tableColumn id="4" name="User Story / Livrable"/>
    <x:tableColumn id="5" name="Description"/>
    <x:tableColumn id="6" name="Priorité"/>
    <x:tableColumn id="7" name="Release"/>
    <x:tableColumn id="8" name="Points"/>
    <x:tableColumn id="9" name="Dépendances"/>
    <x:tableColumn id="10" name="Owner"/>
    <x:tableColumn id="11" name="Statut"/>
    <x:tableColumn id="12" name="Risque"/>
    <x:tableColumn id="13" name="Critères d'acceptation"/>
    <x:tableColumn id="14" name="Type QA"/>
    <x:tableColumn id="15" name="Sprint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picsTable" displayName="EpicsTable" ref="A1:D19" headerRowCount="1" totalsRowCount="0" totalsRowShown="0">
  <x:tableColumns count="4">
    <x:tableColumn id="1" name="Epic ID"/>
    <x:tableColumn id="2" name="Epic"/>
    <x:tableColumn id="3" name="Objectif"/>
    <x:tableColumn id="4" name="Version ci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V1Table" displayName="PlanV1Table" ref="A1:H11" headerRowCount="1" totalsRowCount="0" totalsRowShown="0">
  <x:tableColumns count="8">
    <x:tableColumn id="1" name="Sprint"/>
    <x:tableColumn id="2" name="Thème"/>
    <x:tableColumn id="3" name="Périmètre"/>
    <x:tableColumn id="4" name="Objectif résultat"/>
    <x:tableColumn id="5" name="Équipes principales"/>
    <x:tableColumn id="6" name="Gate de sortie"/>
    <x:tableColumn id="7" name="Stories V1"/>
    <x:tableColumn id="8" name="Points V1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quipeV1Table" displayName="EquipeV1Table" ref="A1:D10" headerRowCount="1" totalsRowCount="0" totalsRowShown="0">
  <x:tableColumns count="4">
    <x:tableColumn id="1" name="Rôle"/>
    <x:tableColumn id="2" name="Responsabilités"/>
    <x:tableColumn id="3" name="Présence"/>
    <x:tableColumn id="4" name="Rè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tesV1Table" displayName="GatesV1Table" ref="A1:E11" headerRowCount="1" totalsRowCount="0" totalsRowShown="0">
  <x:tableColumns count="5">
    <x:tableColumn id="1" name="Gate"/>
    <x:tableColumn id="2" name="Nom"/>
    <x:tableColumn id="3" name="Après"/>
    <x:tableColumn id="4" name="Critère de passage"/>
    <x:tableColumn id="5" name="Ty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ncementV1Table" displayName="LancementV1Table" ref="A1:D13" headerRowCount="1" totalsRowCount="0" totalsRowShown="0">
  <x:tableColumns count="4">
    <x:tableColumn id="1" name="ID"/>
    <x:tableColumn id="2" name="Action de lancement"/>
    <x:tableColumn id="3" name="Échéance"/>
    <x:tableColumn id="4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c83f434af840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2cf419a47347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edea6afc3045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ffe91d1c3fe24d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51caf1706a0748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80ffea7f6fc44e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85736eb4e9414a0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24" hidden="0" customWidth="1"/>
    <x:col min="5" max="5" width="18" hidden="0" customWidth="1"/>
    <x:col min="3" max="3" width="18" hidden="0" customWidth="1"/>
    <x:col min="6" max="6" width="18" hidden="0" customWidth="1"/>
    <x:col min="7" max="7" width="18" hidden="0" customWidth="1"/>
  </x:cols>
  <x:sheetData>
    <x:row r="1" ht="34" customHeight="1">
      <x:c r="A1" s="20" t="str">
        <x:v>BACKLOG DE DÉVELOPPEMENT — PLATEFORME ELIOTE/FAV</x:v>
      </x:c>
      <x:c r="B1" s="20"/>
      <x:c r="C1" s="20"/>
      <x:c r="D1" s="20"/>
      <x:c r="E1" s="20"/>
      <x:c r="F1" s="20"/>
      <x:c r="G1" s="20"/>
      <x:c r="H1" s="20"/>
    </x:row>
    <x:row r="3">
      <x:c r="A3" s="26" t="str">
        <x:v>KPI</x:v>
      </x:c>
      <x:c r="B3" s="26" t="str">
        <x:v>Valeur</x:v>
      </x:c>
      <x:c r="D3" s="26" t="str">
        <x:v>Pilotage</x:v>
      </x:c>
      <x:c r="E3" s="26" t="str">
        <x:v>Valeur</x:v>
      </x:c>
    </x:row>
    <x:row r="4">
      <x:c r="A4" t="str">
        <x:v>Total User Stories</x:v>
      </x:c>
      <x:c r="B4" t="n">
        <x:v>125</x:v>
      </x:c>
      <x:c r="D4" t="str">
        <x:v>Terminées</x:v>
      </x:c>
      <x:c r="E4" t="n">
        <x:f>COUNTIF(Backlog!K2:K126,"Terminé")</x:f>
        <x:v>0</x:v>
      </x:c>
    </x:row>
    <x:row r="5">
      <x:c r="A5" t="str">
        <x:v>Story Points total</x:v>
      </x:c>
      <x:c r="B5" t="n">
        <x:v>969</x:v>
      </x:c>
      <x:c r="D5" t="str">
        <x:v>En cours</x:v>
      </x:c>
      <x:c r="E5" t="n">
        <x:f>COUNTIF(Backlog!K2:K126,"En cours")</x:f>
        <x:v>0</x:v>
      </x:c>
    </x:row>
    <x:row r="6">
      <x:c r="A6" t="str">
        <x:v>Must</x:v>
      </x:c>
      <x:c r="B6" t="n">
        <x:v>112</x:v>
      </x:c>
      <x:c r="D6" t="str">
        <x:v>Bloquées</x:v>
      </x:c>
      <x:c r="E6" t="n">
        <x:f>COUNTIF(Backlog!K2:K126,"Bloqué")</x:f>
        <x:v>0</x:v>
      </x:c>
    </x:row>
    <x:row r="7">
      <x:c r="A7" t="str">
        <x:v>V1</x:v>
      </x:c>
      <x:c r="B7" t="n">
        <x:v>115</x:v>
      </x:c>
      <x:c r="D7" t="str">
        <x:v>Progression</x:v>
      </x:c>
      <x:c r="E7" s="30" t="n">
        <x:f>IF(B4=0,0,E4/B4)</x:f>
        <x:v>0</x:v>
      </x:c>
    </x:row>
    <x:row r="8">
      <x:c r="A8" t="str">
        <x:v>V2</x:v>
      </x:c>
      <x:c r="B8" t="n">
        <x:v>7</x:v>
      </x:c>
      <x:c r="D8" t="str">
        <x:v>Risques élevés</x:v>
      </x:c>
      <x:c r="E8" t="n">
        <x:v>15</x:v>
      </x:c>
    </x:row>
    <x:row r="10">
      <x:c r="A10" s="25" t="str">
        <x:v>Release</x:v>
      </x:c>
      <x:c r="B10" s="25" t="str">
        <x:v>Stories</x:v>
      </x:c>
      <x:c r="C10" s="25" t="str">
        <x:v>Points</x:v>
      </x:c>
      <x:c r="E10" s="25" t="str">
        <x:v>Priorité</x:v>
      </x:c>
      <x:c r="F10" s="25" t="str">
        <x:v>Stories</x:v>
      </x:c>
      <x:c r="G10" s="25" t="str">
        <x:v>Points</x:v>
      </x:c>
    </x:row>
    <x:row r="11">
      <x:c r="A11" t="str">
        <x:v>V1</x:v>
      </x:c>
      <x:c r="B11" t="n">
        <x:f>COUNTIF(Backlog!G2:G126,"V1")</x:f>
        <x:v>115</x:v>
      </x:c>
      <x:c r="C11" t="n">
        <x:f>SUMIF(Backlog!G2:G126,"V1",Backlog!H2:H126)</x:f>
        <x:v>859</x:v>
      </x:c>
      <x:c r="E11" t="str">
        <x:v>Must</x:v>
      </x:c>
      <x:c r="F11" t="n">
        <x:f>COUNTIF(Backlog!F2:F126,"Must")</x:f>
        <x:v>112</x:v>
      </x:c>
      <x:c r="G11" t="n">
        <x:f>SUMIF(Backlog!F2:F126,"Must",Backlog!H2:H126)</x:f>
        <x:v>838</x:v>
      </x:c>
    </x:row>
    <x:row r="12">
      <x:c r="A12" t="str">
        <x:v>V2</x:v>
      </x:c>
      <x:c r="B12" t="n">
        <x:f>COUNTIF(Backlog!G2:G126,"V2")</x:f>
        <x:v>7</x:v>
      </x:c>
      <x:c r="C12" t="n">
        <x:f>SUMIF(Backlog!G2:G126,"V2",Backlog!H2:H126)</x:f>
        <x:v>81</x:v>
      </x:c>
      <x:c r="E12" t="str">
        <x:v>Should</x:v>
      </x:c>
      <x:c r="F12" t="n">
        <x:f>COUNTIF(Backlog!F2:F126,"Should")</x:f>
        <x:v>7</x:v>
      </x:c>
      <x:c r="G12" t="n">
        <x:f>SUMIF(Backlog!F2:F126,"Should",Backlog!H2:H126)</x:f>
        <x:v>73</x:v>
      </x:c>
    </x:row>
    <x:row r="13">
      <x:c r="A13" t="str">
        <x:v>V3</x:v>
      </x:c>
      <x:c r="B13" t="n">
        <x:f>COUNTIF(Backlog!G2:G126,"V3")</x:f>
        <x:v>3</x:v>
      </x:c>
      <x:c r="C13" t="n">
        <x:f>SUMIF(Backlog!G2:G126,"V3",Backlog!H2:H126)</x:f>
        <x:v>29</x:v>
      </x:c>
      <x:c r="E13" t="str">
        <x:v>Could</x:v>
      </x:c>
      <x:c r="F13" t="n">
        <x:f>COUNTIF(Backlog!F2:F126,"Could")</x:f>
        <x:v>6</x:v>
      </x:c>
      <x:c r="G13" t="n">
        <x:f>SUMIF(Backlog!F2:F126,"Could",Backlog!H2:H126)</x:f>
        <x:v>58</x:v>
      </x:c>
    </x:row>
    <x:row r="14">
      <x:c r="A14" t="str">
        <x:v>Total</x:v>
      </x:c>
      <x:c r="B14" t="n">
        <x:f>SUM(B11:B13)</x:f>
        <x:v>125</x:v>
      </x:c>
      <x:c r="C14" t="n">
        <x:f>SUM(C11:C13)</x:f>
        <x:v>969</x:v>
      </x:c>
      <x:c r="E14" t="str">
        <x:v>Won't</x:v>
      </x:c>
      <x:c r="F14" t="n">
        <x:f>COUNTIF(Backlog!F2:F126,"Won't")</x:f>
        <x:v>0</x:v>
      </x:c>
      <x:c r="G14" t="n">
        <x:f>SUMIF(Backlog!F2:F126,"Won't",Backlog!H2:H126)</x:f>
        <x:v>0</x:v>
      </x:c>
    </x:row>
    <x:row r="15">
      <x:c r="E15" t="str">
        <x:v>Total</x:v>
      </x:c>
      <x:c r="F15" t="n">
        <x:f>SUM(F11:F14)</x:f>
        <x:v>125</x:v>
      </x:c>
      <x:c r="G15" t="n">
        <x:f>SUM(G11:G14)</x:f>
        <x:v>969</x:v>
      </x:c>
    </x:row>
    <x:row r="35">
      <x:c r="A35" s="34" t="str">
        <x:v>Règle de pilotage : une User Story n’est “Terminée” que lorsque la Definition of Done de l’onglet QA &amp; DoD est satisfaite.</x:v>
      </x:c>
      <x:c r="B35" s="34"/>
      <x:c r="C35" s="34"/>
      <x:c r="D35" s="34"/>
      <x:c r="E35" s="34"/>
      <x:c r="F35" s="34"/>
      <x:c r="G35" s="34"/>
      <x:c r="H35" s="34"/>
    </x:row>
    <x:row r="37">
      <x:c r="A37" s="43" t="str">
        <x:v>V1 lancée : consulter Plan V1, Equipe V1, Gates V1 et Lancement V1. Les stories V1 sont maintenant affectées à un Sprint et un rôle principal.</x:v>
      </x:c>
      <x:c r="B37" s="43"/>
      <x:c r="C37" s="43"/>
      <x:c r="D37" s="43"/>
      <x:c r="E37" s="43"/>
      <x:c r="F37" s="43"/>
      <x:c r="G37" s="43"/>
      <x:c r="H37" s="43"/>
    </x:row>
  </x:sheetData>
  <x:mergeCells>
    <x:mergeCell ref="A1:H1"/>
    <x:mergeCell ref="A35:H35"/>
    <x:mergeCell ref="A37:H37"/>
  </x:mergeCells>
  <x:pageMargins left="0.7" right="0.7" top="0.75" bottom="0.75" header="0.3" footer="0.3"/>
  <x:drawing xmlns:r="http://schemas.openxmlformats.org/officeDocument/2006/relationships" r:id="R3bc83f434af840ba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38" hidden="0" customWidth="1"/>
    <x:col min="5" max="5" width="52" hidden="0" customWidth="1"/>
    <x:col min="6" max="6" width="12" hidden="0" customWidth="1"/>
    <x:col min="7" max="7" width="10" hidden="0" customWidth="1"/>
    <x:col min="8" max="8" width="9" hidden="0" customWidth="1"/>
    <x:col min="9" max="9" width="18" hidden="0" customWidth="1"/>
    <x:col min="10" max="10" width="16" hidden="0" customWidth="1"/>
    <x:col min="11" max="11" width="14" hidden="0" customWidth="1"/>
    <x:col min="12" max="12" width="12" hidden="0" customWidth="1"/>
    <x:col min="13" max="13" width="52" hidden="0" customWidth="1"/>
    <x:col min="14" max="14" width="14" hidden="0" customWidth="1"/>
    <x:col min="15" max="15" width="14" hidden="0" customWidth="1"/>
    <x:col min="16" max="16" width="28" hidden="0" customWidth="1"/>
  </x:cols>
  <x:sheetData>
    <x:row r="1" ht="30" customHeight="1">
      <x:c r="A1" s="6" t="str">
        <x:v>ID</x:v>
      </x:c>
      <x:c r="B1" s="6" t="str">
        <x:v>Epic</x:v>
      </x:c>
      <x:c r="C1" s="6" t="str">
        <x:v>Feature</x:v>
      </x:c>
      <x:c r="D1" s="6" t="str">
        <x:v>User Story / Livrable</x:v>
      </x:c>
      <x:c r="E1" s="6" t="str">
        <x:v>Description</x:v>
      </x:c>
      <x:c r="F1" s="6" t="str">
        <x:v>Priorité</x:v>
      </x:c>
      <x:c r="G1" s="6" t="str">
        <x:v>Release</x:v>
      </x:c>
      <x:c r="H1" s="6" t="str">
        <x:v>Points</x:v>
      </x:c>
      <x:c r="I1" s="6" t="str">
        <x:v>Dépendances</x:v>
      </x:c>
      <x:c r="J1" s="6" t="str">
        <x:v>Owner</x:v>
      </x:c>
      <x:c r="K1" s="6" t="str">
        <x:v>Statut</x:v>
      </x:c>
      <x:c r="L1" s="6" t="str">
        <x:v>Risque</x:v>
      </x:c>
      <x:c r="M1" s="6" t="str">
        <x:v>Critères d'acceptation</x:v>
      </x:c>
      <x:c r="N1" s="6" t="str">
        <x:v>Type QA</x:v>
      </x:c>
      <x:c r="O1" s="6" t="str">
        <x:v>Sprint</x:v>
      </x:c>
      <x:c r="P1" s="6" t="str">
        <x:v>Notes</x:v>
      </x:c>
    </x:row>
    <x:row r="2">
      <x:c r="A2" s="16" t="str">
        <x:v>US-001</x:v>
      </x:c>
      <x:c r="B2" s="14" t="str">
        <x:v>E01</x:v>
      </x:c>
      <x:c r="C2" s="14" t="str">
        <x:v>Architecture</x:v>
      </x:c>
      <x:c r="D2" s="14" t="str">
        <x:v>Définir l’architecture modulaire</x:v>
      </x:c>
      <x:c r="E2" s="14" t="str">
        <x:v>Séparer frontend, API, moteur planning, moteur commercial, analytics, PLANYBOT et audit.</x:v>
      </x:c>
      <x:c r="F2" s="14" t="str">
        <x:v>Must</x:v>
      </x:c>
      <x:c r="G2" s="14" t="str">
        <x:v>V1</x:v>
      </x:c>
      <x:c r="H2" s="16" t="n">
        <x:v>8</x:v>
      </x:c>
      <x:c r="I2" s="14" t="str"/>
      <x:c r="J2" s="14" t="str">
        <x:v>Fullstack</x:v>
      </x:c>
      <x:c r="K2" s="14" t="str">
        <x:v>À faire</x:v>
      </x:c>
      <x:c r="L2" s="14" t="str">
        <x:v>Moyen</x:v>
      </x:c>
      <x:c r="M2" s="14" t="str">
        <x:v>ADR validé; composants et responsabilités documentés; aucune règle métier critique uniquement côté UI.</x:v>
      </x:c>
      <x:c r="N2" s="14" t="str">
        <x:v>Revue</x:v>
      </x:c>
      <x:c r="O2" s="14" t="str">
        <x:v>Sprint 0</x:v>
      </x:c>
      <x:c r="P2" s="14" t="str"/>
    </x:row>
    <x:row r="3">
      <x:c r="A3" s="16" t="str">
        <x:v>US-002</x:v>
      </x:c>
      <x:c r="B3" s="14" t="str">
        <x:v>E01</x:v>
      </x:c>
      <x:c r="C3" s="14" t="str">
        <x:v>API</x:v>
      </x:c>
      <x:c r="D3" s="14" t="str">
        <x:v>Définir le contrat API v1</x:v>
      </x:c>
      <x:c r="E3" s="14" t="str">
        <x:v>Spécifier endpoints, erreurs, pagination, filtres, idempotency keys et versioning.</x:v>
      </x:c>
      <x:c r="F3" s="14" t="str">
        <x:v>Must</x:v>
      </x:c>
      <x:c r="G3" s="14" t="str">
        <x:v>V1</x:v>
      </x:c>
      <x:c r="H3" s="16" t="n">
        <x:v>8</x:v>
      </x:c>
      <x:c r="I3" s="14" t="str"/>
      <x:c r="J3" s="14" t="str">
        <x:v>Backend</x:v>
      </x:c>
      <x:c r="K3" s="14" t="str">
        <x:v>À faire</x:v>
      </x:c>
      <x:c r="L3" s="14" t="str">
        <x:v>Moyen</x:v>
      </x:c>
      <x:c r="M3" s="14" t="str">
        <x:v>OpenAPI disponible; exemples requêtes/réponses; erreurs standardisées.</x:v>
      </x:c>
      <x:c r="N3" s="14" t="str">
        <x:v>Contract</x:v>
      </x:c>
      <x:c r="O3" s="14" t="str">
        <x:v>Sprint 0</x:v>
      </x:c>
      <x:c r="P3" s="14" t="str"/>
    </x:row>
    <x:row r="4">
      <x:c r="A4" s="16" t="str">
        <x:v>US-003</x:v>
      </x:c>
      <x:c r="B4" s="14" t="str">
        <x:v>E01</x:v>
      </x:c>
      <x:c r="C4" s="14" t="str">
        <x:v>Événements</x:v>
      </x:c>
      <x:c r="D4" s="14" t="str">
        <x:v>Mettre en place les événements métier</x:v>
      </x:c>
      <x:c r="E4" s="14" t="str">
        <x:v>Publier ReservationCreated/Updated/Deleted, QuoteValidated, OverageDetected, ActualConfirmed.</x:v>
      </x:c>
      <x:c r="F4" s="14" t="str">
        <x:v>Must</x:v>
      </x:c>
      <x:c r="G4" s="14" t="str">
        <x:v>V1</x:v>
      </x:c>
      <x:c r="H4" s="16" t="n">
        <x:v>8</x:v>
      </x:c>
      <x:c r="I4" s="14" t="str"/>
      <x:c r="J4" s="14" t="str">
        <x:v>Backend</x:v>
      </x:c>
      <x:c r="K4" s="14" t="str">
        <x:v>À faire</x:v>
      </x:c>
      <x:c r="L4" s="14" t="str">
        <x:v>Moyen</x:v>
      </x:c>
      <x:c r="M4" s="14" t="str">
        <x:v>Événements persistés; rejouables; consommables par analytics et PLANYBOT.</x:v>
      </x:c>
      <x:c r="N4" s="14" t="str">
        <x:v>Integration</x:v>
      </x:c>
      <x:c r="O4" s="14" t="str">
        <x:v>Sprint 0</x:v>
      </x:c>
      <x:c r="P4" s="14" t="str"/>
    </x:row>
    <x:row r="5">
      <x:c r="A5" s="16" t="str">
        <x:v>US-004</x:v>
      </x:c>
      <x:c r="B5" s="14" t="str">
        <x:v>E01</x:v>
      </x:c>
      <x:c r="C5" s="14" t="str">
        <x:v>Audit</x:v>
      </x:c>
      <x:c r="D5" s="14" t="str">
        <x:v>Créer l’Audit Log transverse</x:v>
      </x:c>
      <x:c r="E5" s="14" t="str">
        <x:v>Historiser avant/après, utilisateur, timestamp, objet, opération et origine.</x:v>
      </x:c>
      <x:c r="F5" s="14" t="str">
        <x:v>Must</x:v>
      </x:c>
      <x:c r="G5" s="14" t="str">
        <x:v>V1</x:v>
      </x:c>
      <x:c r="H5" s="16" t="n">
        <x:v>5</x:v>
      </x:c>
      <x:c r="I5" s="14" t="str"/>
      <x:c r="J5" s="14" t="str">
        <x:v>Backend</x:v>
      </x:c>
      <x:c r="K5" s="14" t="str">
        <x:v>À faire</x:v>
      </x:c>
      <x:c r="L5" s="14" t="str">
        <x:v>Moyen</x:v>
      </x:c>
      <x:c r="M5" s="14" t="str">
        <x:v>Toute mutation critique laisse une trace consultable.</x:v>
      </x:c>
      <x:c r="N5" s="14" t="str">
        <x:v>Integration</x:v>
      </x:c>
      <x:c r="O5" s="14" t="str">
        <x:v>Sprint 0</x:v>
      </x:c>
      <x:c r="P5" s="14" t="str"/>
    </x:row>
    <x:row r="6">
      <x:c r="A6" s="16" t="str">
        <x:v>US-005</x:v>
      </x:c>
      <x:c r="B6" s="14" t="str">
        <x:v>E01</x:v>
      </x:c>
      <x:c r="C6" s="14" t="str">
        <x:v>Observabilité</x:v>
      </x:c>
      <x:c r="D6" s="14" t="str">
        <x:v>Instrumentation technique</x:v>
      </x:c>
      <x:c r="E6" s="14" t="str">
        <x:v>Logs corrélés, error_id, métriques latence API, erreurs mutation, WebSocket.</x:v>
      </x:c>
      <x:c r="F6" s="14" t="str">
        <x:v>Must</x:v>
      </x:c>
      <x:c r="G6" s="14" t="str">
        <x:v>V1</x:v>
      </x:c>
      <x:c r="H6" s="16" t="n">
        <x:v>5</x:v>
      </x:c>
      <x:c r="I6" s="14" t="str"/>
      <x:c r="J6" s="14" t="str">
        <x:v>DevOps</x:v>
      </x:c>
      <x:c r="K6" s="14" t="str">
        <x:v>À faire</x:v>
      </x:c>
      <x:c r="L6" s="14" t="str">
        <x:v>Moyen</x:v>
      </x:c>
      <x:c r="M6" s="14" t="str">
        <x:v>Chaque erreur serveur a un error_id; dashboards techniques disponibles.</x:v>
      </x:c>
      <x:c r="N6" s="14" t="str">
        <x:v>Ops</x:v>
      </x:c>
      <x:c r="O6" s="14" t="str">
        <x:v>Sprint 0</x:v>
      </x:c>
      <x:c r="P6" s="14" t="str"/>
    </x:row>
    <x:row r="7">
      <x:c r="A7" s="16" t="str">
        <x:v>US-006</x:v>
      </x:c>
      <x:c r="B7" s="14" t="str">
        <x:v>E01</x:v>
      </x:c>
      <x:c r="C7" s="14" t="str">
        <x:v>Idempotence</x:v>
      </x:c>
      <x:c r="D7" s="14" t="str">
        <x:v>Sécuriser les mutations</x:v>
      </x:c>
      <x:c r="E7" s="14" t="str">
        <x:v>Toutes mutations sensibles utilisent operation_id/idempotency key.</x:v>
      </x:c>
      <x:c r="F7" s="14" t="str">
        <x:v>Must</x:v>
      </x:c>
      <x:c r="G7" s="14" t="str">
        <x:v>V1</x:v>
      </x:c>
      <x:c r="H7" s="16" t="n">
        <x:v>5</x:v>
      </x:c>
      <x:c r="I7" s="14" t="str"/>
      <x:c r="J7" s="14" t="str">
        <x:v>Backend</x:v>
      </x:c>
      <x:c r="K7" s="14" t="str">
        <x:v>À faire</x:v>
      </x:c>
      <x:c r="L7" s="14" t="str">
        <x:v>Moyen</x:v>
      </x:c>
      <x:c r="M7" s="14" t="str">
        <x:v>Retry réseau ne crée jamais de doublon de réservation ou devis complémentaire.</x:v>
      </x:c>
      <x:c r="N7" s="14" t="str">
        <x:v>Integration</x:v>
      </x:c>
      <x:c r="O7" s="14" t="str">
        <x:v>Sprint 0</x:v>
      </x:c>
      <x:c r="P7" s="14" t="str"/>
    </x:row>
    <x:row r="8">
      <x:c r="A8" s="16" t="str">
        <x:v>US-007</x:v>
      </x:c>
      <x:c r="B8" s="14" t="str">
        <x:v>E02</x:v>
      </x:c>
      <x:c r="C8" s="14" t="str">
        <x:v>Clients</x:v>
      </x:c>
      <x:c r="D8" s="14" t="str">
        <x:v>CRUD client</x:v>
      </x:c>
      <x:c r="E8" s="14" t="str">
        <x:v>Créer/modifier/archiver un client avec contacts, entité, devise, conditions et grille tarifaire.</x:v>
      </x:c>
      <x:c r="F8" s="14" t="str">
        <x:v>Must</x:v>
      </x:c>
      <x:c r="G8" s="14" t="str">
        <x:v>V1</x:v>
      </x:c>
      <x:c r="H8" s="16" t="n">
        <x:v>5</x:v>
      </x:c>
      <x:c r="I8" s="14" t="str"/>
      <x:c r="J8" s="14" t="str">
        <x:v>Backend</x:v>
      </x:c>
      <x:c r="K8" s="14" t="str">
        <x:v>À faire</x:v>
      </x:c>
      <x:c r="L8" s="14" t="str">
        <x:v>Moyen</x:v>
      </x:c>
      <x:c r="M8" s="14" t="str">
        <x:v>Client persisté; archivage non destructif; recherche disponible.</x:v>
      </x:c>
      <x:c r="N8" s="14" t="str">
        <x:v>E2E</x:v>
      </x:c>
      <x:c r="O8" s="14" t="str">
        <x:v>Sprint 1</x:v>
      </x:c>
      <x:c r="P8" s="14" t="str"/>
    </x:row>
    <x:row r="9">
      <x:c r="A9" s="16" t="str">
        <x:v>US-008</x:v>
      </x:c>
      <x:c r="B9" s="14" t="str">
        <x:v>E02</x:v>
      </x:c>
      <x:c r="C9" s="14" t="str">
        <x:v>Projets</x:v>
      </x:c>
      <x:c r="D9" s="14" t="str">
        <x:v>Créer un projet</x:v>
      </x:c>
      <x:c r="E9" s="14" t="str">
        <x:v>Créer un projet rattaché à un client avec dates, site, commercial, chef de projet et responsable planning.</x:v>
      </x:c>
      <x:c r="F9" s="14" t="str">
        <x:v>Must</x:v>
      </x:c>
      <x:c r="G9" s="14" t="str">
        <x:v>V1</x:v>
      </x:c>
      <x:c r="H9" s="16" t="n">
        <x:v>5</x:v>
      </x:c>
      <x:c r="I9" s="14" t="str"/>
      <x:c r="J9" s="14" t="str">
        <x:v>Backend</x:v>
      </x:c>
      <x:c r="K9" s="14" t="str">
        <x:v>À faire</x:v>
      </x:c>
      <x:c r="L9" s="14" t="str">
        <x:v>Moyen</x:v>
      </x:c>
      <x:c r="M9" s="14" t="str">
        <x:v>Projet visible depuis client; statuts et responsables modifiables.</x:v>
      </x:c>
      <x:c r="N9" s="14" t="str">
        <x:v>E2E</x:v>
      </x:c>
      <x:c r="O9" s="14" t="str">
        <x:v>Sprint 1</x:v>
      </x:c>
      <x:c r="P9" s="14" t="str"/>
    </x:row>
    <x:row r="10">
      <x:c r="A10" s="16" t="str">
        <x:v>US-009</x:v>
      </x:c>
      <x:c r="B10" s="14" t="str">
        <x:v>E02</x:v>
      </x:c>
      <x:c r="C10" s="14" t="str">
        <x:v>Projets</x:v>
      </x:c>
      <x:c r="D10" s="14" t="str">
        <x:v>Statuts projet</x:v>
      </x:c>
      <x:c r="E10" s="14" t="str">
        <x:v>Implémenter statuts Prospect, Budget, Devis, Confirmé, À planifier, Partiellement planifié, Planifié, En production, Terminé, Annulé.</x:v>
      </x:c>
      <x:c r="F10" s="14" t="str">
        <x:v>Must</x:v>
      </x:c>
      <x:c r="G10" s="14" t="str">
        <x:v>V1</x:v>
      </x:c>
      <x:c r="H10" s="16" t="n">
        <x:v>3</x:v>
      </x:c>
      <x:c r="I10" s="14" t="str"/>
      <x:c r="J10" s="14" t="str">
        <x:v>Backend</x:v>
      </x:c>
      <x:c r="K10" s="14" t="str">
        <x:v>À faire</x:v>
      </x:c>
      <x:c r="L10" s="14" t="str">
        <x:v>Moyen</x:v>
      </x:c>
      <x:c r="M10" s="14" t="str">
        <x:v>Transitions historisées; filtres disponibles.</x:v>
      </x:c>
      <x:c r="N10" s="14" t="str">
        <x:v>E2E</x:v>
      </x:c>
      <x:c r="O10" s="14" t="str">
        <x:v>Sprint 1</x:v>
      </x:c>
      <x:c r="P10" s="14" t="str"/>
    </x:row>
    <x:row r="11">
      <x:c r="A11" s="16" t="str">
        <x:v>US-010</x:v>
      </x:c>
      <x:c r="B11" s="14" t="str">
        <x:v>E02</x:v>
      </x:c>
      <x:c r="C11" s="14" t="str">
        <x:v>Sites</x:v>
      </x:c>
      <x:c r="D11" s="14" t="str">
        <x:v>Gérer plusieurs sites</x:v>
      </x:c>
      <x:c r="E11" s="14" t="str">
        <x:v>Structurer Site → Catégorie → Ressource et filtrer le planning par site.</x:v>
      </x:c>
      <x:c r="F11" s="14" t="str">
        <x:v>Must</x:v>
      </x:c>
      <x:c r="G11" s="14" t="str">
        <x:v>V1</x:v>
      </x:c>
      <x:c r="H11" s="16" t="n">
        <x:v>5</x:v>
      </x:c>
      <x:c r="I11" s="14" t="str"/>
      <x:c r="J11" s="14" t="str">
        <x:v>Backend</x:v>
      </x:c>
      <x:c r="K11" s="14" t="str">
        <x:v>À faire</x:v>
      </x:c>
      <x:c r="L11" s="14" t="str">
        <x:v>Moyen</x:v>
      </x:c>
      <x:c r="M11" s="14" t="str">
        <x:v>Une ressource appartient à un site; vue multi-site possible.</x:v>
      </x:c>
      <x:c r="N11" s="14" t="str">
        <x:v>E2E</x:v>
      </x:c>
      <x:c r="O11" s="14" t="str">
        <x:v>Sprint 1</x:v>
      </x:c>
      <x:c r="P11" s="14" t="str"/>
    </x:row>
    <x:row r="12">
      <x:c r="A12" s="16" t="str">
        <x:v>US-011</x:v>
      </x:c>
      <x:c r="B12" s="14" t="str">
        <x:v>E02</x:v>
      </x:c>
      <x:c r="C12" s="14" t="str">
        <x:v>Recherche</x:v>
      </x:c>
      <x:c r="D12" s="14" t="str">
        <x:v>Recherche universelle</x:v>
      </x:c>
      <x:c r="E12" s="14" t="str">
        <x:v>Rechercher client, projet, devis, ressource, personne, prestation.</x:v>
      </x:c>
      <x:c r="F12" s="14" t="str">
        <x:v>Must</x:v>
      </x:c>
      <x:c r="G12" s="14" t="str">
        <x:v>V1</x:v>
      </x:c>
      <x:c r="H12" s="16" t="n">
        <x:v>5</x:v>
      </x:c>
      <x:c r="I12" s="14" t="str"/>
      <x:c r="J12" s="14" t="str">
        <x:v>Backend</x:v>
      </x:c>
      <x:c r="K12" s="14" t="str">
        <x:v>À faire</x:v>
      </x:c>
      <x:c r="L12" s="14" t="str">
        <x:v>Moyen</x:v>
      </x:c>
      <x:c r="M12" s="14" t="str">
        <x:v>Recherche &lt;300 ms sur dataset cible; navigation vers objet.</x:v>
      </x:c>
      <x:c r="N12" s="14" t="str">
        <x:v>E2E</x:v>
      </x:c>
      <x:c r="O12" s="14" t="str">
        <x:v>Sprint 1</x:v>
      </x:c>
      <x:c r="P12" s="14" t="str"/>
    </x:row>
    <x:row r="13">
      <x:c r="A13" s="16" t="str">
        <x:v>US-012</x:v>
      </x:c>
      <x:c r="B13" s="14" t="str">
        <x:v>E03</x:v>
      </x:c>
      <x:c r="C13" s="14" t="str">
        <x:v>Catalogue</x:v>
      </x:c>
      <x:c r="D13" s="14" t="str">
        <x:v>CRUD prestation</x:v>
      </x:c>
      <x:c r="E13" s="14" t="str">
        <x:v>Créer prestations avec catégorie, unité, planifiable, type ressource compatible, prix générique.</x:v>
      </x:c>
      <x:c r="F13" s="14" t="str">
        <x:v>Must</x:v>
      </x:c>
      <x:c r="G13" s="14" t="str">
        <x:v>V1</x:v>
      </x:c>
      <x:c r="H13" s="16" t="n">
        <x:v>5</x:v>
      </x:c>
      <x:c r="I13" s="14" t="str"/>
      <x:c r="J13" s="14" t="str">
        <x:v>Backend</x:v>
      </x:c>
      <x:c r="K13" s="14" t="str">
        <x:v>À faire</x:v>
      </x:c>
      <x:c r="L13" s="14" t="str">
        <x:v>Moyen</x:v>
      </x:c>
      <x:c r="M13" s="14" t="str">
        <x:v>Prestations utilisables dans budget/devis et mapping planning.</x:v>
      </x:c>
      <x:c r="N13" s="14" t="str">
        <x:v>E2E</x:v>
      </x:c>
      <x:c r="O13" s="14" t="str">
        <x:v>Sprint 1</x:v>
      </x:c>
      <x:c r="P13" s="14" t="str"/>
    </x:row>
    <x:row r="14">
      <x:c r="A14" s="16" t="str">
        <x:v>US-013</x:v>
      </x:c>
      <x:c r="B14" s="14" t="str">
        <x:v>E03</x:v>
      </x:c>
      <x:c r="C14" s="14" t="str">
        <x:v>Tarifs</x:v>
      </x:c>
      <x:c r="D14" s="14" t="str">
        <x:v>Grille tarifaire générique</x:v>
      </x:c>
      <x:c r="E14" s="14" t="str">
        <x:v>Gérer tarif catalogue avec dates de validité.</x:v>
      </x:c>
      <x:c r="F14" s="14" t="str">
        <x:v>Must</x:v>
      </x:c>
      <x:c r="G14" s="14" t="str">
        <x:v>V1</x:v>
      </x:c>
      <x:c r="H14" s="16" t="n">
        <x:v>5</x:v>
      </x:c>
      <x:c r="I14" s="14" t="str"/>
      <x:c r="J14" s="14" t="str">
        <x:v>Backend</x:v>
      </x:c>
      <x:c r="K14" s="14" t="str">
        <x:v>À faire</x:v>
      </x:c>
      <x:c r="L14" s="14" t="str">
        <x:v>Moyen</x:v>
      </x:c>
      <x:c r="M14" s="14" t="str">
        <x:v>Tarif versionné et historisé.</x:v>
      </x:c>
      <x:c r="N14" s="14" t="str">
        <x:v>E2E</x:v>
      </x:c>
      <x:c r="O14" s="14" t="str">
        <x:v>Sprint 1</x:v>
      </x:c>
      <x:c r="P14" s="14" t="str"/>
    </x:row>
    <x:row r="15">
      <x:c r="A15" s="16" t="str">
        <x:v>US-014</x:v>
      </x:c>
      <x:c r="B15" s="14" t="str">
        <x:v>E03</x:v>
      </x:c>
      <x:c r="C15" s="14" t="str">
        <x:v>Tarifs</x:v>
      </x:c>
      <x:c r="D15" s="14" t="str">
        <x:v>Grille tarifaire client</x:v>
      </x:c>
      <x:c r="E15" s="14" t="str">
        <x:v>Associer tarifs spécifiques à client/prestation, avec dates et remises.</x:v>
      </x:c>
      <x:c r="F15" s="14" t="str">
        <x:v>Must</x:v>
      </x:c>
      <x:c r="G15" s="14" t="str">
        <x:v>V1</x:v>
      </x:c>
      <x:c r="H15" s="16" t="n">
        <x:v>8</x:v>
      </x:c>
      <x:c r="I15" s="14" t="str"/>
      <x:c r="J15" s="14" t="str">
        <x:v>Backend</x:v>
      </x:c>
      <x:c r="K15" s="14" t="str">
        <x:v>À faire</x:v>
      </x:c>
      <x:c r="L15" s="14" t="str">
        <x:v>Moyen</x:v>
      </x:c>
      <x:c r="M15" s="14" t="str">
        <x:v>Priorité tarif client sur générique; ancien devis conserve ancien prix.</x:v>
      </x:c>
      <x:c r="N15" s="14" t="str">
        <x:v>E2E</x:v>
      </x:c>
      <x:c r="O15" s="14" t="str">
        <x:v>Sprint 1</x:v>
      </x:c>
      <x:c r="P15" s="14" t="str"/>
    </x:row>
    <x:row r="16">
      <x:c r="A16" s="16" t="str">
        <x:v>US-015</x:v>
      </x:c>
      <x:c r="B16" s="14" t="str">
        <x:v>E03</x:v>
      </x:c>
      <x:c r="C16" s="14" t="str">
        <x:v>Tarifs</x:v>
      </x:c>
      <x:c r="D16" s="14" t="str">
        <x:v>Tarifs week-end/nuit</x:v>
      </x:c>
      <x:c r="E16" s="14" t="str">
        <x:v>Permettre majorations paramétrables par prestation/grille.</x:v>
      </x:c>
      <x:c r="F16" s="14" t="str">
        <x:v>Should</x:v>
      </x:c>
      <x:c r="G16" s="14" t="str">
        <x:v>V1</x:v>
      </x:c>
      <x:c r="H16" s="16" t="n">
        <x:v>5</x:v>
      </x:c>
      <x:c r="I16" s="14" t="str"/>
      <x:c r="J16" s="14" t="str">
        <x:v>Backend</x:v>
      </x:c>
      <x:c r="K16" s="14" t="str">
        <x:v>À faire</x:v>
      </x:c>
      <x:c r="L16" s="14" t="str">
        <x:v>Moyen</x:v>
      </x:c>
      <x:c r="M16" s="14" t="str">
        <x:v>Calcul tarifaire déterministe; testable.</x:v>
      </x:c>
      <x:c r="N16" s="14" t="str">
        <x:v>E2E</x:v>
      </x:c>
      <x:c r="O16" s="14" t="str">
        <x:v>Sprint 1</x:v>
      </x:c>
      <x:c r="P16" s="14" t="str"/>
    </x:row>
    <x:row r="17">
      <x:c r="A17" s="16" t="str">
        <x:v>US-016</x:v>
      </x:c>
      <x:c r="B17" s="14" t="str">
        <x:v>E03</x:v>
      </x:c>
      <x:c r="C17" s="14" t="str">
        <x:v>Tarifs</x:v>
      </x:c>
      <x:c r="D17" s="14" t="str">
        <x:v>Détecter tarif manquant</x:v>
      </x:c>
      <x:c r="E17" s="14" t="str">
        <x:v>Bloquer l’envoi final si une ligne n’a aucun tarif valide.</x:v>
      </x:c>
      <x:c r="F17" s="14" t="str">
        <x:v>Must</x:v>
      </x:c>
      <x:c r="G17" s="14" t="str">
        <x:v>V1</x:v>
      </x:c>
      <x:c r="H17" s="16" t="n">
        <x:v>3</x:v>
      </x:c>
      <x:c r="I17" s="14" t="str"/>
      <x:c r="J17" s="14" t="str">
        <x:v>Backend</x:v>
      </x:c>
      <x:c r="K17" s="14" t="str">
        <x:v>À faire</x:v>
      </x:c>
      <x:c r="L17" s="14" t="str">
        <x:v>Moyen</x:v>
      </x:c>
      <x:c r="M17" s="14" t="str">
        <x:v>Alerte explicite et liste des lignes concernées.</x:v>
      </x:c>
      <x:c r="N17" s="14" t="str">
        <x:v>E2E</x:v>
      </x:c>
      <x:c r="O17" s="14" t="str">
        <x:v>Sprint 1</x:v>
      </x:c>
      <x:c r="P17" s="14" t="str"/>
    </x:row>
    <x:row r="18">
      <x:c r="A18" s="16" t="str">
        <x:v>US-017</x:v>
      </x:c>
      <x:c r="B18" s="14" t="str">
        <x:v>E04</x:v>
      </x:c>
      <x:c r="C18" s="14" t="str">
        <x:v>Budget</x:v>
      </x:c>
      <x:c r="D18" s="14" t="str">
        <x:v>Éditeur de budget</x:v>
      </x:c>
      <x:c r="E18" s="14" t="str">
        <x:v>Créer budget manuellement avec même moteur de lignes que devis.</x:v>
      </x:c>
      <x:c r="F18" s="14" t="str">
        <x:v>Must</x:v>
      </x:c>
      <x:c r="G18" s="14" t="str">
        <x:v>V1</x:v>
      </x:c>
      <x:c r="H18" s="16" t="n">
        <x:v>8</x:v>
      </x:c>
      <x:c r="I18" s="14" t="str"/>
      <x:c r="J18" s="14" t="str">
        <x:v>Fullstack</x:v>
      </x:c>
      <x:c r="K18" s="14" t="str">
        <x:v>À faire</x:v>
      </x:c>
      <x:c r="L18" s="14" t="str">
        <x:v>Moyen</x:v>
      </x:c>
      <x:c r="M18" s="14" t="str">
        <x:v>Ajout/suppression/quantité/remise; totaux recalculés.</x:v>
      </x:c>
      <x:c r="N18" s="14" t="str">
        <x:v>E2E</x:v>
      </x:c>
      <x:c r="O18" s="14" t="str">
        <x:v>Sprint 2</x:v>
      </x:c>
      <x:c r="P18" s="14" t="str"/>
    </x:row>
    <x:row r="19">
      <x:c r="A19" s="16" t="str">
        <x:v>US-018</x:v>
      </x:c>
      <x:c r="B19" s="14" t="str">
        <x:v>E04</x:v>
      </x:c>
      <x:c r="C19" s="14" t="str">
        <x:v>Budget</x:v>
      </x:c>
      <x:c r="D19" s="14" t="str">
        <x:v>Conversion budget en devis</x:v>
      </x:c>
      <x:c r="E19" s="14" t="str">
        <x:v>Convertir un budget confirmé en devis sans perdre l’historique.</x:v>
      </x:c>
      <x:c r="F19" s="14" t="str">
        <x:v>Must</x:v>
      </x:c>
      <x:c r="G19" s="14" t="str">
        <x:v>V1</x:v>
      </x:c>
      <x:c r="H19" s="16" t="n">
        <x:v>5</x:v>
      </x:c>
      <x:c r="I19" s="14" t="str"/>
      <x:c r="J19" s="14" t="str">
        <x:v>Fullstack</x:v>
      </x:c>
      <x:c r="K19" s="14" t="str">
        <x:v>À faire</x:v>
      </x:c>
      <x:c r="L19" s="14" t="str">
        <x:v>Moyen</x:v>
      </x:c>
      <x:c r="M19" s="14" t="str">
        <x:v>Budget source conservé; devis lié; aucune réservation créée.</x:v>
      </x:c>
      <x:c r="N19" s="14" t="str">
        <x:v>E2E</x:v>
      </x:c>
      <x:c r="O19" s="14" t="str">
        <x:v>Sprint 2</x:v>
      </x:c>
      <x:c r="P19" s="14" t="str"/>
    </x:row>
    <x:row r="20">
      <x:c r="A20" s="16" t="str">
        <x:v>US-019</x:v>
      </x:c>
      <x:c r="B20" s="14" t="str">
        <x:v>E04</x:v>
      </x:c>
      <x:c r="C20" s="14" t="str">
        <x:v>Devis</x:v>
      </x:c>
      <x:c r="D20" s="14" t="str">
        <x:v>Éditeur de devis</x:v>
      </x:c>
      <x:c r="E20" s="14" t="str">
        <x:v>Créer et modifier devis brouillon, appliquer tarifs automatiquement.</x:v>
      </x:c>
      <x:c r="F20" s="14" t="str">
        <x:v>Must</x:v>
      </x:c>
      <x:c r="G20" s="14" t="str">
        <x:v>V1</x:v>
      </x:c>
      <x:c r="H20" s="16" t="n">
        <x:v>8</x:v>
      </x:c>
      <x:c r="I20" s="14" t="str"/>
      <x:c r="J20" s="14" t="str">
        <x:v>Fullstack</x:v>
      </x:c>
      <x:c r="K20" s="14" t="str">
        <x:v>À faire</x:v>
      </x:c>
      <x:c r="L20" s="14" t="str">
        <x:v>Moyen</x:v>
      </x:c>
      <x:c r="M20" s="14" t="str">
        <x:v>Totaux, remise, taxes, marge prévisionnelle calculés.</x:v>
      </x:c>
      <x:c r="N20" s="14" t="str">
        <x:v>E2E</x:v>
      </x:c>
      <x:c r="O20" s="14" t="str">
        <x:v>Sprint 2</x:v>
      </x:c>
      <x:c r="P20" s="14" t="str"/>
    </x:row>
    <x:row r="21">
      <x:c r="A21" s="16" t="str">
        <x:v>US-020</x:v>
      </x:c>
      <x:c r="B21" s="14" t="str">
        <x:v>E04</x:v>
      </x:c>
      <x:c r="C21" s="14" t="str">
        <x:v>Devis</x:v>
      </x:c>
      <x:c r="D21" s="14" t="str">
        <x:v>Statuts du devis</x:v>
      </x:c>
      <x:c r="E21" s="14" t="str">
        <x:v>Brouillon, validation interne, envoyé, accepté, refusé, expiré, annulé.</x:v>
      </x:c>
      <x:c r="F21" s="14" t="str">
        <x:v>Must</x:v>
      </x:c>
      <x:c r="G21" s="14" t="str">
        <x:v>V1</x:v>
      </x:c>
      <x:c r="H21" s="16" t="n">
        <x:v>5</x:v>
      </x:c>
      <x:c r="I21" s="14" t="str"/>
      <x:c r="J21" s="14" t="str">
        <x:v>Fullstack</x:v>
      </x:c>
      <x:c r="K21" s="14" t="str">
        <x:v>À faire</x:v>
      </x:c>
      <x:c r="L21" s="14" t="str">
        <x:v>Moyen</x:v>
      </x:c>
      <x:c r="M21" s="14" t="str">
        <x:v>Accepté déclenche CA signé et possibilité PLANIFIER LE DEVIS.</x:v>
      </x:c>
      <x:c r="N21" s="14" t="str">
        <x:v>E2E</x:v>
      </x:c>
      <x:c r="O21" s="14" t="str">
        <x:v>Sprint 2</x:v>
      </x:c>
      <x:c r="P21" s="14" t="str"/>
    </x:row>
    <x:row r="22">
      <x:c r="A22" s="16" t="str">
        <x:v>US-021</x:v>
      </x:c>
      <x:c r="B22" s="14" t="str">
        <x:v>E04</x:v>
      </x:c>
      <x:c r="C22" s="14" t="str">
        <x:v>Devis</x:v>
      </x:c>
      <x:c r="D22" s="14" t="str">
        <x:v>Immutabilité après validation</x:v>
      </x:c>
      <x:c r="E22" s="14" t="str">
        <x:v>Un devis accepté ne peut plus être modifié; créer révision/complément.</x:v>
      </x:c>
      <x:c r="F22" s="14" t="str">
        <x:v>Must</x:v>
      </x:c>
      <x:c r="G22" s="14" t="str">
        <x:v>V1</x:v>
      </x:c>
      <x:c r="H22" s="16" t="n">
        <x:v>5</x:v>
      </x:c>
      <x:c r="I22" s="14" t="str"/>
      <x:c r="J22" s="14" t="str">
        <x:v>Fullstack</x:v>
      </x:c>
      <x:c r="K22" s="14" t="str">
        <x:v>À faire</x:v>
      </x:c>
      <x:c r="L22" s="14" t="str">
        <x:v>Moyen</x:v>
      </x:c>
      <x:c r="M22" s="14" t="str">
        <x:v>Toute tentative de mutation directe rejetée côté serveur.</x:v>
      </x:c>
      <x:c r="N22" s="14" t="str">
        <x:v>E2E</x:v>
      </x:c>
      <x:c r="O22" s="14" t="str">
        <x:v>Sprint 2</x:v>
      </x:c>
      <x:c r="P22" s="14" t="str"/>
    </x:row>
    <x:row r="23">
      <x:c r="A23" s="16" t="str">
        <x:v>US-022</x:v>
      </x:c>
      <x:c r="B23" s="14" t="str">
        <x:v>E04</x:v>
      </x:c>
      <x:c r="C23" s="14" t="str">
        <x:v>CA</x:v>
      </x:c>
      <x:c r="D23" s="14" t="str">
        <x:v>Intégrer le devis validé au CA</x:v>
      </x:c>
      <x:c r="E23" s="14" t="str">
        <x:v>Le CA signé est reconnu à la validation client.</x:v>
      </x:c>
      <x:c r="F23" s="14" t="str">
        <x:v>Must</x:v>
      </x:c>
      <x:c r="G23" s="14" t="str">
        <x:v>V1</x:v>
      </x:c>
      <x:c r="H23" s="16" t="n">
        <x:v>5</x:v>
      </x:c>
      <x:c r="I23" s="14" t="str"/>
      <x:c r="J23" s="14" t="str">
        <x:v>Fullstack</x:v>
      </x:c>
      <x:c r="K23" s="14" t="str">
        <x:v>À faire</x:v>
      </x:c>
      <x:c r="L23" s="14" t="str">
        <x:v>Moyen</x:v>
      </x:c>
      <x:c r="M23" s="14" t="str">
        <x:v>Dashboard CA signé reflète immédiatement le devis accepté.</x:v>
      </x:c>
      <x:c r="N23" s="14" t="str">
        <x:v>E2E</x:v>
      </x:c>
      <x:c r="O23" s="14" t="str">
        <x:v>Sprint 2</x:v>
      </x:c>
      <x:c r="P23" s="14" t="str"/>
    </x:row>
    <x:row r="24">
      <x:c r="A24" s="16" t="str">
        <x:v>US-023</x:v>
      </x:c>
      <x:c r="B24" s="14" t="str">
        <x:v>E04</x:v>
      </x:c>
      <x:c r="C24" s="14" t="str">
        <x:v>Historique</x:v>
      </x:c>
      <x:c r="D24" s="14" t="str">
        <x:v>Versionner les documents commerciaux</x:v>
      </x:c>
      <x:c r="E24" s="14" t="str">
        <x:v>Conserver numéros, versions, auteur, dates, statut et source.</x:v>
      </x:c>
      <x:c r="F24" s="14" t="str">
        <x:v>Must</x:v>
      </x:c>
      <x:c r="G24" s="14" t="str">
        <x:v>V1</x:v>
      </x:c>
      <x:c r="H24" s="16" t="n">
        <x:v>5</x:v>
      </x:c>
      <x:c r="I24" s="14" t="str"/>
      <x:c r="J24" s="14" t="str">
        <x:v>Fullstack</x:v>
      </x:c>
      <x:c r="K24" s="14" t="str">
        <x:v>À faire</x:v>
      </x:c>
      <x:c r="L24" s="14" t="str">
        <x:v>Moyen</x:v>
      </x:c>
      <x:c r="M24" s="14" t="str">
        <x:v>Historique consultable par projet.</x:v>
      </x:c>
      <x:c r="N24" s="14" t="str">
        <x:v>E2E</x:v>
      </x:c>
      <x:c r="O24" s="14" t="str">
        <x:v>Sprint 2</x:v>
      </x:c>
      <x:c r="P24" s="14" t="str"/>
    </x:row>
    <x:row r="25">
      <x:c r="A25" s="16" t="str">
        <x:v>US-024</x:v>
      </x:c>
      <x:c r="B25" s="14" t="str">
        <x:v>E05</x:v>
      </x:c>
      <x:c r="C25" s="14" t="str">
        <x:v>Viewport</x:v>
      </x:c>
      <x:c r="D25" s="14" t="str">
        <x:v>Construire le PlanningViewport</x:v>
      </x:c>
      <x:c r="E25" s="14" t="str">
        <x:v>Axe vertical ressources, horizontal temps, headers sticky, scroll fluide.</x:v>
      </x:c>
      <x:c r="F25" s="14" t="str">
        <x:v>Must</x:v>
      </x:c>
      <x:c r="G25" s="14" t="str">
        <x:v>V1</x:v>
      </x:c>
      <x:c r="H25" s="16" t="n">
        <x:v>13</x:v>
      </x:c>
      <x:c r="I25" s="14" t="str"/>
      <x:c r="J25" s="14" t="str">
        <x:v>Frontend</x:v>
      </x:c>
      <x:c r="K25" s="14" t="str">
        <x:v>À faire</x:v>
      </x:c>
      <x:c r="L25" s="14" t="str">
        <x:v>Élevé</x:v>
      </x:c>
      <x:c r="M25" s="14" t="str">
        <x:v>250 ressources / 10k réservations test; pas de freeze lors du scroll.</x:v>
      </x:c>
      <x:c r="N25" s="14" t="str">
        <x:v>Performance</x:v>
      </x:c>
      <x:c r="O25" s="14" t="str">
        <x:v>Sprint 2</x:v>
      </x:c>
      <x:c r="P25" s="14" t="str"/>
    </x:row>
    <x:row r="26">
      <x:c r="A26" s="16" t="str">
        <x:v>US-025</x:v>
      </x:c>
      <x:c r="B26" s="14" t="str">
        <x:v>E05</x:v>
      </x:c>
      <x:c r="C26" s="14" t="str">
        <x:v>Vues</x:v>
      </x:c>
      <x:c r="D26" s="14" t="str">
        <x:v>Vue Jour</x:v>
      </x:c>
      <x:c r="E26" s="14" t="str">
        <x:v>Afficher journée avec granularité horaire configurable.</x:v>
      </x:c>
      <x:c r="F26" s="14" t="str">
        <x:v>Must</x:v>
      </x:c>
      <x:c r="G26" s="14" t="str">
        <x:v>V1</x:v>
      </x:c>
      <x:c r="H26" s="16" t="n">
        <x:v>5</x:v>
      </x:c>
      <x:c r="I26" s="14" t="str"/>
      <x:c r="J26" s="14" t="str">
        <x:v>Frontend</x:v>
      </x:c>
      <x:c r="K26" s="14" t="str">
        <x:v>À faire</x:v>
      </x:c>
      <x:c r="L26" s="14" t="str">
        <x:v>Moyen</x:v>
      </x:c>
      <x:c r="M26" s="14" t="str">
        <x:v>Navigation et sélection exactes.</x:v>
      </x:c>
      <x:c r="N26" s="14" t="str">
        <x:v>E2E</x:v>
      </x:c>
      <x:c r="O26" s="14" t="str">
        <x:v>Sprint 3</x:v>
      </x:c>
      <x:c r="P26" s="14" t="str"/>
    </x:row>
    <x:row r="27">
      <x:c r="A27" s="16" t="str">
        <x:v>US-026</x:v>
      </x:c>
      <x:c r="B27" s="14" t="str">
        <x:v>E05</x:v>
      </x:c>
      <x:c r="C27" s="14" t="str">
        <x:v>Vues</x:v>
      </x:c>
      <x:c r="D27" s="14" t="str">
        <x:v>Vue Semaine</x:v>
      </x:c>
      <x:c r="E27" s="14" t="str">
        <x:v>Afficher 7 jours avec week-end distingué.</x:v>
      </x:c>
      <x:c r="F27" s="14" t="str">
        <x:v>Must</x:v>
      </x:c>
      <x:c r="G27" s="14" t="str">
        <x:v>V1</x:v>
      </x:c>
      <x:c r="H27" s="16" t="n">
        <x:v>5</x:v>
      </x:c>
      <x:c r="I27" s="14" t="str"/>
      <x:c r="J27" s="14" t="str">
        <x:v>Frontend</x:v>
      </x:c>
      <x:c r="K27" s="14" t="str">
        <x:v>À faire</x:v>
      </x:c>
      <x:c r="L27" s="14" t="str">
        <x:v>Moyen</x:v>
      </x:c>
      <x:c r="M27" s="14" t="str">
        <x:v>Échelle cohérente et scroll horizontal.</x:v>
      </x:c>
      <x:c r="N27" s="14" t="str">
        <x:v>E2E</x:v>
      </x:c>
      <x:c r="O27" s="14" t="str">
        <x:v>Sprint 3</x:v>
      </x:c>
      <x:c r="P27" s="14" t="str"/>
    </x:row>
    <x:row r="28">
      <x:c r="A28" s="16" t="str">
        <x:v>US-027</x:v>
      </x:c>
      <x:c r="B28" s="14" t="str">
        <x:v>E05</x:v>
      </x:c>
      <x:c r="C28" s="14" t="str">
        <x:v>Vues</x:v>
      </x:c>
      <x:c r="D28" s="14" t="str">
        <x:v>Vue 6 semaines</x:v>
      </x:c>
      <x:c r="E28" s="14" t="str">
        <x:v>Afficher 6 semaines de manière exploitable pour l’exploitation.</x:v>
      </x:c>
      <x:c r="F28" s="14" t="str">
        <x:v>Must</x:v>
      </x:c>
      <x:c r="G28" s="14" t="str">
        <x:v>V1</x:v>
      </x:c>
      <x:c r="H28" s="16" t="n">
        <x:v>8</x:v>
      </x:c>
      <x:c r="I28" s="14" t="str"/>
      <x:c r="J28" s="14" t="str">
        <x:v>Frontend</x:v>
      </x:c>
      <x:c r="K28" s="14" t="str">
        <x:v>À faire</x:v>
      </x:c>
      <x:c r="L28" s="14" t="str">
        <x:v>Moyen</x:v>
      </x:c>
      <x:c r="M28" s="14" t="str">
        <x:v>Lecture claire; réservation par jour; performance respectée.</x:v>
      </x:c>
      <x:c r="N28" s="14" t="str">
        <x:v>E2E</x:v>
      </x:c>
      <x:c r="O28" s="14" t="str">
        <x:v>Sprint 3</x:v>
      </x:c>
      <x:c r="P28" s="14" t="str"/>
    </x:row>
    <x:row r="29">
      <x:c r="A29" s="16" t="str">
        <x:v>US-028</x:v>
      </x:c>
      <x:c r="B29" s="14" t="str">
        <x:v>E05</x:v>
      </x:c>
      <x:c r="C29" s="14" t="str">
        <x:v>Vues</x:v>
      </x:c>
      <x:c r="D29" s="14" t="str">
        <x:v>Vue Mois</x:v>
      </x:c>
      <x:c r="E29" s="14" t="str">
        <x:v>Vue mensuelle avec ressources et réservations multi-jours.</x:v>
      </x:c>
      <x:c r="F29" s="14" t="str">
        <x:v>Must</x:v>
      </x:c>
      <x:c r="G29" s="14" t="str">
        <x:v>V1</x:v>
      </x:c>
      <x:c r="H29" s="16" t="n">
        <x:v>8</x:v>
      </x:c>
      <x:c r="I29" s="14" t="str"/>
      <x:c r="J29" s="14" t="str">
        <x:v>Frontend</x:v>
      </x:c>
      <x:c r="K29" s="14" t="str">
        <x:v>À faire</x:v>
      </x:c>
      <x:c r="L29" s="14" t="str">
        <x:v>Moyen</x:v>
      </x:c>
      <x:c r="M29" s="14" t="str">
        <x:v>Réservations spanning affichées sans ambiguïté.</x:v>
      </x:c>
      <x:c r="N29" s="14" t="str">
        <x:v>E2E</x:v>
      </x:c>
      <x:c r="O29" s="14" t="str">
        <x:v>Sprint 3</x:v>
      </x:c>
      <x:c r="P29" s="14" t="str"/>
    </x:row>
    <x:row r="30">
      <x:c r="A30" s="16" t="str">
        <x:v>US-029</x:v>
      </x:c>
      <x:c r="B30" s="14" t="str">
        <x:v>E05</x:v>
      </x:c>
      <x:c r="C30" s="14" t="str">
        <x:v>Vues</x:v>
      </x:c>
      <x:c r="D30" s="14" t="str">
        <x:v>Vue 3 mois</x:v>
      </x:c>
      <x:c r="E30" s="14" t="str">
        <x:v>Vue capacité/planification à moyen terme.</x:v>
      </x:c>
      <x:c r="F30" s="14" t="str">
        <x:v>Must</x:v>
      </x:c>
      <x:c r="G30" s="14" t="str">
        <x:v>V1</x:v>
      </x:c>
      <x:c r="H30" s="16" t="n">
        <x:v>8</x:v>
      </x:c>
      <x:c r="I30" s="14" t="str"/>
      <x:c r="J30" s="14" t="str">
        <x:v>Frontend</x:v>
      </x:c>
      <x:c r="K30" s="14" t="str">
        <x:v>À faire</x:v>
      </x:c>
      <x:c r="L30" s="14" t="str">
        <x:v>Moyen</x:v>
      </x:c>
      <x:c r="M30" s="14" t="str">
        <x:v>Navigation 2–3 mois à l’avance fluide.</x:v>
      </x:c>
      <x:c r="N30" s="14" t="str">
        <x:v>E2E</x:v>
      </x:c>
      <x:c r="O30" s="14" t="str">
        <x:v>Sprint 3</x:v>
      </x:c>
      <x:c r="P30" s="14" t="str"/>
    </x:row>
    <x:row r="31">
      <x:c r="A31" s="16" t="str">
        <x:v>US-030</x:v>
      </x:c>
      <x:c r="B31" s="14" t="str">
        <x:v>E05</x:v>
      </x:c>
      <x:c r="C31" s="14" t="str">
        <x:v>Navigation</x:v>
      </x:c>
      <x:c r="D31" s="14" t="str">
        <x:v>Aller à une date</x:v>
      </x:c>
      <x:c r="E31" s="14" t="str">
        <x:v>Date picker et repositionnement instantané.</x:v>
      </x:c>
      <x:c r="F31" s="14" t="str">
        <x:v>Must</x:v>
      </x:c>
      <x:c r="G31" s="14" t="str">
        <x:v>V1</x:v>
      </x:c>
      <x:c r="H31" s="16" t="n">
        <x:v>3</x:v>
      </x:c>
      <x:c r="I31" s="14" t="str"/>
      <x:c r="J31" s="14" t="str">
        <x:v>Frontend</x:v>
      </x:c>
      <x:c r="K31" s="14" t="str">
        <x:v>À faire</x:v>
      </x:c>
      <x:c r="L31" s="14" t="str">
        <x:v>Moyen</x:v>
      </x:c>
      <x:c r="M31" s="14" t="str">
        <x:v>Date future 3 mois atteinte en une action.</x:v>
      </x:c>
      <x:c r="N31" s="14" t="str">
        <x:v>E2E</x:v>
      </x:c>
      <x:c r="O31" s="14" t="str">
        <x:v>Sprint 3</x:v>
      </x:c>
      <x:c r="P31" s="14" t="str"/>
    </x:row>
    <x:row r="32">
      <x:c r="A32" s="16" t="str">
        <x:v>US-031</x:v>
      </x:c>
      <x:c r="B32" s="14" t="str">
        <x:v>E05</x:v>
      </x:c>
      <x:c r="C32" s="14" t="str">
        <x:v>Navigation</x:v>
      </x:c>
      <x:c r="D32" s="14" t="str">
        <x:v>Conserver centre temporel au zoom</x:v>
      </x:c>
      <x:c r="E32" s="14" t="str">
        <x:v>Changer de vue sans perdre la période observée.</x:v>
      </x:c>
      <x:c r="F32" s="14" t="str">
        <x:v>Must</x:v>
      </x:c>
      <x:c r="G32" s="14" t="str">
        <x:v>V1</x:v>
      </x:c>
      <x:c r="H32" s="16" t="n">
        <x:v>5</x:v>
      </x:c>
      <x:c r="I32" s="14" t="str"/>
      <x:c r="J32" s="14" t="str">
        <x:v>Frontend</x:v>
      </x:c>
      <x:c r="K32" s="14" t="str">
        <x:v>À faire</x:v>
      </x:c>
      <x:c r="L32" s="14" t="str">
        <x:v>Moyen</x:v>
      </x:c>
      <x:c r="M32" s="14" t="str">
        <x:v>Date centrale conservée lors du changement de vue.</x:v>
      </x:c>
      <x:c r="N32" s="14" t="str">
        <x:v>E2E</x:v>
      </x:c>
      <x:c r="O32" s="14" t="str">
        <x:v>Sprint 3</x:v>
      </x:c>
      <x:c r="P32" s="14" t="str"/>
    </x:row>
    <x:row r="33">
      <x:c r="A33" s="16" t="str">
        <x:v>US-032</x:v>
      </x:c>
      <x:c r="B33" s="14" t="str">
        <x:v>E05</x:v>
      </x:c>
      <x:c r="C33" s="14" t="str">
        <x:v>Plein écran</x:v>
      </x:c>
      <x:c r="D33" s="14" t="str">
        <x:v>Mode plein écran</x:v>
      </x:c>
      <x:c r="E33" s="14" t="str">
        <x:v>Masquer navigation secondaire et maximiser planning.</x:v>
      </x:c>
      <x:c r="F33" s="14" t="str">
        <x:v>Must</x:v>
      </x:c>
      <x:c r="G33" s="14" t="str">
        <x:v>V1</x:v>
      </x:c>
      <x:c r="H33" s="16" t="n">
        <x:v>3</x:v>
      </x:c>
      <x:c r="I33" s="14" t="str"/>
      <x:c r="J33" s="14" t="str">
        <x:v>Frontend</x:v>
      </x:c>
      <x:c r="K33" s="14" t="str">
        <x:v>À faire</x:v>
      </x:c>
      <x:c r="L33" s="14" t="str">
        <x:v>Moyen</x:v>
      </x:c>
      <x:c r="M33" s="14" t="str">
        <x:v>PLANYBOT repliable; sortie plein écran restaurée.</x:v>
      </x:c>
      <x:c r="N33" s="14" t="str">
        <x:v>E2E</x:v>
      </x:c>
      <x:c r="O33" s="14" t="str">
        <x:v>Sprint 3</x:v>
      </x:c>
      <x:c r="P33" s="14" t="str"/>
    </x:row>
    <x:row r="34">
      <x:c r="A34" s="16" t="str">
        <x:v>US-033</x:v>
      </x:c>
      <x:c r="B34" s="14" t="str">
        <x:v>E05</x:v>
      </x:c>
      <x:c r="C34" s="14" t="str">
        <x:v>Virtualisation</x:v>
      </x:c>
      <x:c r="D34" s="14" t="str">
        <x:v>Virtualiser lignes et temps</x:v>
      </x:c>
      <x:c r="E34" s="14" t="str">
        <x:v>Ne rendre que le viewport + buffer.</x:v>
      </x:c>
      <x:c r="F34" s="14" t="str">
        <x:v>Must</x:v>
      </x:c>
      <x:c r="G34" s="14" t="str">
        <x:v>V1</x:v>
      </x:c>
      <x:c r="H34" s="16" t="n">
        <x:v>13</x:v>
      </x:c>
      <x:c r="I34" s="14" t="str"/>
      <x:c r="J34" s="14" t="str">
        <x:v>Frontend</x:v>
      </x:c>
      <x:c r="K34" s="14" t="str">
        <x:v>À faire</x:v>
      </x:c>
      <x:c r="L34" s="14" t="str">
        <x:v>Élevé</x:v>
      </x:c>
      <x:c r="M34" s="14" t="str">
        <x:v>DOM/rendu borné; scroll 60 fps cible sur dataset de test.</x:v>
      </x:c>
      <x:c r="N34" s="14" t="str">
        <x:v>Performance</x:v>
      </x:c>
      <x:c r="O34" s="14" t="str">
        <x:v>Sprint 2</x:v>
      </x:c>
      <x:c r="P34" s="14" t="str"/>
    </x:row>
    <x:row r="35">
      <x:c r="A35" s="16" t="str">
        <x:v>US-034</x:v>
      </x:c>
      <x:c r="B35" s="14" t="str">
        <x:v>E05</x:v>
      </x:c>
      <x:c r="C35" s="14" t="str">
        <x:v>Design</x:v>
      </x:c>
      <x:c r="D35" s="14" t="str">
        <x:v>Thème clair professionnel</x:v>
      </x:c>
      <x:c r="E35" s="14" t="str">
        <x:v>Fond blanc cassé/gris clair, week-end grisé, couleurs accessibles.</x:v>
      </x:c>
      <x:c r="F35" s="14" t="str">
        <x:v>Must</x:v>
      </x:c>
      <x:c r="G35" s="14" t="str">
        <x:v>V1</x:v>
      </x:c>
      <x:c r="H35" s="16" t="n">
        <x:v>3</x:v>
      </x:c>
      <x:c r="I35" s="14" t="str"/>
      <x:c r="J35" s="14" t="str">
        <x:v>Frontend</x:v>
      </x:c>
      <x:c r="K35" s="14" t="str">
        <x:v>À faire</x:v>
      </x:c>
      <x:c r="L35" s="14" t="str">
        <x:v>Moyen</x:v>
      </x:c>
      <x:c r="M35" s="14" t="str">
        <x:v>Aucune interface principale fond noir; contraste accessible.</x:v>
      </x:c>
      <x:c r="N35" s="14" t="str">
        <x:v>E2E</x:v>
      </x:c>
      <x:c r="O35" s="14" t="str">
        <x:v>Sprint 2</x:v>
      </x:c>
      <x:c r="P35" s="14" t="str"/>
    </x:row>
    <x:row r="36">
      <x:c r="A36" s="16" t="str">
        <x:v>US-035</x:v>
      </x:c>
      <x:c r="B36" s="14" t="str">
        <x:v>E06</x:v>
      </x:c>
      <x:c r="C36" s="14" t="str">
        <x:v>Création</x:v>
      </x:c>
      <x:c r="D36" s="14" t="str">
        <x:v>Créer réservation à la souris</x:v>
      </x:c>
      <x:c r="E36" s="14" t="str">
        <x:v>Cliquer-glisser sur ligne ressource pour créer une réservation.</x:v>
      </x:c>
      <x:c r="F36" s="14" t="str">
        <x:v>Must</x:v>
      </x:c>
      <x:c r="G36" s="14" t="str">
        <x:v>V1</x:v>
      </x:c>
      <x:c r="H36" s="16" t="n">
        <x:v>8</x:v>
      </x:c>
      <x:c r="I36" s="14" t="str"/>
      <x:c r="J36" s="14" t="str">
        <x:v>Fullstack</x:v>
      </x:c>
      <x:c r="K36" s="14" t="str">
        <x:v>À faire</x:v>
      </x:c>
      <x:c r="L36" s="14" t="str">
        <x:v>Élevé</x:v>
      </x:c>
      <x:c r="M36" s="14" t="str">
        <x:v>Preview ghost; dates exactes; popover léger; sauvegarde auto.</x:v>
      </x:c>
      <x:c r="N36" s="14" t="str">
        <x:v>E2E</x:v>
      </x:c>
      <x:c r="O36" s="14" t="str">
        <x:v>Sprint 3</x:v>
      </x:c>
      <x:c r="P36" s="14" t="str"/>
    </x:row>
    <x:row r="37">
      <x:c r="A37" s="16" t="str">
        <x:v>US-036</x:v>
      </x:c>
      <x:c r="B37" s="14" t="str">
        <x:v>E06</x:v>
      </x:c>
      <x:c r="C37" s="14" t="str">
        <x:v>Drag &amp; Drop</x:v>
      </x:c>
      <x:c r="D37" s="14" t="str">
        <x:v>Déplacer réservation</x:v>
      </x:c>
      <x:c r="E37" s="14" t="str">
        <x:v>Déplacement horizontal/vertical/diagonal avec validation serveur.</x:v>
      </x:c>
      <x:c r="F37" s="14" t="str">
        <x:v>Must</x:v>
      </x:c>
      <x:c r="G37" s="14" t="str">
        <x:v>V1</x:v>
      </x:c>
      <x:c r="H37" s="16" t="n">
        <x:v>13</x:v>
      </x:c>
      <x:c r="I37" s="14" t="str"/>
      <x:c r="J37" s="14" t="str">
        <x:v>Fullstack</x:v>
      </x:c>
      <x:c r="K37" s="14" t="str">
        <x:v>À faire</x:v>
      </x:c>
      <x:c r="L37" s="14" t="str">
        <x:v>Élevé</x:v>
      </x:c>
      <x:c r="M37" s="14" t="str">
        <x:v>Optimistic UI; rollback en cas de conflit; durée conservée.</x:v>
      </x:c>
      <x:c r="N37" s="14" t="str">
        <x:v>E2E</x:v>
      </x:c>
      <x:c r="O37" s="14" t="str">
        <x:v>Sprint 3</x:v>
      </x:c>
      <x:c r="P37" s="14" t="str"/>
    </x:row>
    <x:row r="38">
      <x:c r="A38" s="16" t="str">
        <x:v>US-037</x:v>
      </x:c>
      <x:c r="B38" s="14" t="str">
        <x:v>E06</x:v>
      </x:c>
      <x:c r="C38" s="14" t="str">
        <x:v>Resize</x:v>
      </x:c>
      <x:c r="D38" s="14" t="str">
        <x:v>Étendre/réduire réservation</x:v>
      </x:c>
      <x:c r="E38" s="14" t="str">
        <x:v>Poignées gauche/droite avec recalcul temps réel.</x:v>
      </x:c>
      <x:c r="F38" s="14" t="str">
        <x:v>Must</x:v>
      </x:c>
      <x:c r="G38" s="14" t="str">
        <x:v>V1</x:v>
      </x:c>
      <x:c r="H38" s="16" t="n">
        <x:v>13</x:v>
      </x:c>
      <x:c r="I38" s="14" t="str"/>
      <x:c r="J38" s="14" t="str">
        <x:v>Fullstack</x:v>
      </x:c>
      <x:c r="K38" s="14" t="str">
        <x:v>À faire</x:v>
      </x:c>
      <x:c r="L38" s="14" t="str">
        <x:v>Élevé</x:v>
      </x:c>
      <x:c r="M38" s="14" t="str">
        <x:v>Nouvelle durée visible pendant resize; PLANYBOT recalculé.</x:v>
      </x:c>
      <x:c r="N38" s="14" t="str">
        <x:v>E2E</x:v>
      </x:c>
      <x:c r="O38" s="14" t="str">
        <x:v>Sprint 3</x:v>
      </x:c>
      <x:c r="P38" s="14" t="str"/>
    </x:row>
    <x:row r="39">
      <x:c r="A39" s="16" t="str">
        <x:v>US-038</x:v>
      </x:c>
      <x:c r="B39" s="14" t="str">
        <x:v>E06</x:v>
      </x:c>
      <x:c r="C39" s="14" t="str">
        <x:v>Copier/coller</x:v>
      </x:c>
      <x:c r="D39" s="14" t="str">
        <x:v>Copier/coller réservation</x:v>
      </x:c>
      <x:c r="E39" s="14" t="str">
        <x:v>Cmd/Ctrl+C/V, nouvelle réservation distincte, liens métier conservés.</x:v>
      </x:c>
      <x:c r="F39" s="14" t="str">
        <x:v>Must</x:v>
      </x:c>
      <x:c r="G39" s="14" t="str">
        <x:v>V1</x:v>
      </x:c>
      <x:c r="H39" s="16" t="n">
        <x:v>8</x:v>
      </x:c>
      <x:c r="I39" s="14" t="str"/>
      <x:c r="J39" s="14" t="str">
        <x:v>Fullstack</x:v>
      </x:c>
      <x:c r="K39" s="14" t="str">
        <x:v>À faire</x:v>
      </x:c>
      <x:c r="L39" s="14" t="str">
        <x:v>Moyen</x:v>
      </x:c>
      <x:c r="M39" s="14" t="str">
        <x:v>Copie n’altère pas original; nouvelle id; recalcul devis.</x:v>
      </x:c>
      <x:c r="N39" s="14" t="str">
        <x:v>E2E</x:v>
      </x:c>
      <x:c r="O39" s="14" t="str">
        <x:v>Sprint 4</x:v>
      </x:c>
      <x:c r="P39" s="14" t="str"/>
    </x:row>
    <x:row r="40">
      <x:c r="A40" s="16" t="str">
        <x:v>US-039</x:v>
      </x:c>
      <x:c r="B40" s="14" t="str">
        <x:v>E06</x:v>
      </x:c>
      <x:c r="C40" s="14" t="str">
        <x:v>Multi-sélection</x:v>
      </x:c>
      <x:c r="D40" s="14" t="str">
        <x:v>Sélection multiple</x:v>
      </x:c>
      <x:c r="E40" s="14" t="str">
        <x:v>Cmd/Ctrl/Shift et rectangle de sélection.</x:v>
      </x:c>
      <x:c r="F40" s="14" t="str">
        <x:v>Must</x:v>
      </x:c>
      <x:c r="G40" s="14" t="str">
        <x:v>V1</x:v>
      </x:c>
      <x:c r="H40" s="16" t="n">
        <x:v>8</x:v>
      </x:c>
      <x:c r="I40" s="14" t="str"/>
      <x:c r="J40" s="14" t="str">
        <x:v>Fullstack</x:v>
      </x:c>
      <x:c r="K40" s="14" t="str">
        <x:v>À faire</x:v>
      </x:c>
      <x:c r="L40" s="14" t="str">
        <x:v>Moyen</x:v>
      </x:c>
      <x:c r="M40" s="14" t="str">
        <x:v>Actions batch cohérentes et atomiques.</x:v>
      </x:c>
      <x:c r="N40" s="14" t="str">
        <x:v>E2E</x:v>
      </x:c>
      <x:c r="O40" s="14" t="str">
        <x:v>Sprint 4</x:v>
      </x:c>
      <x:c r="P40" s="14" t="str"/>
    </x:row>
    <x:row r="41">
      <x:c r="A41" s="16" t="str">
        <x:v>US-040</x:v>
      </x:c>
      <x:c r="B41" s="14" t="str">
        <x:v>E06</x:v>
      </x:c>
      <x:c r="C41" s="14" t="str">
        <x:v>Batch</x:v>
      </x:c>
      <x:c r="D41" s="14" t="str">
        <x:v>Déplacement multiple</x:v>
      </x:c>
      <x:c r="E41" s="14" t="str">
        <x:v>Déplacer/coller/supprimer un groupe en une transaction.</x:v>
      </x:c>
      <x:c r="F41" s="14" t="str">
        <x:v>Must</x:v>
      </x:c>
      <x:c r="G41" s="14" t="str">
        <x:v>V1</x:v>
      </x:c>
      <x:c r="H41" s="16" t="n">
        <x:v>8</x:v>
      </x:c>
      <x:c r="I41" s="14" t="str"/>
      <x:c r="J41" s="14" t="str">
        <x:v>Fullstack</x:v>
      </x:c>
      <x:c r="K41" s="14" t="str">
        <x:v>À faire</x:v>
      </x:c>
      <x:c r="L41" s="14" t="str">
        <x:v>Moyen</x:v>
      </x:c>
      <x:c r="M41" s="14" t="str">
        <x:v>Pas de 50 requêtes unitaires; rollback global si transaction atomique échoue.</x:v>
      </x:c>
      <x:c r="N41" s="14" t="str">
        <x:v>E2E</x:v>
      </x:c>
      <x:c r="O41" s="14" t="str">
        <x:v>Sprint 4</x:v>
      </x:c>
      <x:c r="P41" s="14" t="str"/>
    </x:row>
    <x:row r="42">
      <x:c r="A42" s="16" t="str">
        <x:v>US-041</x:v>
      </x:c>
      <x:c r="B42" s="14" t="str">
        <x:v>E06</x:v>
      </x:c>
      <x:c r="C42" s="14" t="str">
        <x:v>Peinture</x:v>
      </x:c>
      <x:c r="D42" s="14" t="str">
        <x:v>Mode peindre des jours</x:v>
      </x:c>
      <x:c r="E42" s="14" t="str">
        <x:v>Sélection projet/prestation puis peinture de cellules non contiguës.</x:v>
      </x:c>
      <x:c r="F42" s="14" t="str">
        <x:v>Should</x:v>
      </x:c>
      <x:c r="G42" s="14" t="str">
        <x:v>V1</x:v>
      </x:c>
      <x:c r="H42" s="16" t="n">
        <x:v>8</x:v>
      </x:c>
      <x:c r="I42" s="14" t="str"/>
      <x:c r="J42" s="14" t="str">
        <x:v>Fullstack</x:v>
      </x:c>
      <x:c r="K42" s="14" t="str">
        <x:v>À faire</x:v>
      </x:c>
      <x:c r="L42" s="14" t="str">
        <x:v>Moyen</x:v>
      </x:c>
      <x:c r="M42" s="14" t="str">
        <x:v>Création rapide sans doublon; undo possible.</x:v>
      </x:c>
      <x:c r="N42" s="14" t="str">
        <x:v>E2E</x:v>
      </x:c>
      <x:c r="O42" s="14" t="str">
        <x:v>Sprint 4</x:v>
      </x:c>
      <x:c r="P42" s="14" t="str"/>
    </x:row>
    <x:row r="43">
      <x:c r="A43" s="16" t="str">
        <x:v>US-042</x:v>
      </x:c>
      <x:c r="B43" s="14" t="str">
        <x:v>E06</x:v>
      </x:c>
      <x:c r="C43" s="14" t="str">
        <x:v>Undo/Redo</x:v>
      </x:c>
      <x:c r="D43" s="14" t="str">
        <x:v>Undo/Redo</x:v>
      </x:c>
      <x:c r="E43" s="14" t="str">
        <x:v>Pile d’actions locale avec validation état serveur.</x:v>
      </x:c>
      <x:c r="F43" s="14" t="str">
        <x:v>Must</x:v>
      </x:c>
      <x:c r="G43" s="14" t="str">
        <x:v>V1</x:v>
      </x:c>
      <x:c r="H43" s="16" t="n">
        <x:v>8</x:v>
      </x:c>
      <x:c r="I43" s="14" t="str"/>
      <x:c r="J43" s="14" t="str">
        <x:v>Fullstack</x:v>
      </x:c>
      <x:c r="K43" s="14" t="str">
        <x:v>À faire</x:v>
      </x:c>
      <x:c r="L43" s="14" t="str">
        <x:v>Moyen</x:v>
      </x:c>
      <x:c r="M43" s="14" t="str">
        <x:v>Création, déplacement, resize, suppression annulables.</x:v>
      </x:c>
      <x:c r="N43" s="14" t="str">
        <x:v>E2E</x:v>
      </x:c>
      <x:c r="O43" s="14" t="str">
        <x:v>Sprint 4</x:v>
      </x:c>
      <x:c r="P43" s="14" t="str"/>
    </x:row>
    <x:row r="44">
      <x:c r="A44" s="16" t="str">
        <x:v>US-043</x:v>
      </x:c>
      <x:c r="B44" s="14" t="str">
        <x:v>E06</x:v>
      </x:c>
      <x:c r="C44" s="14" t="str">
        <x:v>Week-end</x:v>
      </x:c>
      <x:c r="D44" s="14" t="str">
        <x:v>Week-end ON/OFF par réservation</x:v>
      </x:c>
      <x:c r="E44" s="14" t="str">
        <x:v>Si OFF, samedi/dimanche non comptés et non bloqués; si ON, comptés et bloqués.</x:v>
      </x:c>
      <x:c r="F44" s="14" t="str">
        <x:v>Must</x:v>
      </x:c>
      <x:c r="G44" s="14" t="str">
        <x:v>V1</x:v>
      </x:c>
      <x:c r="H44" s="16" t="n">
        <x:v>8</x:v>
      </x:c>
      <x:c r="I44" s="14" t="str"/>
      <x:c r="J44" s="14" t="str">
        <x:v>Fullstack</x:v>
      </x:c>
      <x:c r="K44" s="14" t="str">
        <x:v>À faire</x:v>
      </x:c>
      <x:c r="L44" s="14" t="str">
        <x:v>Moyen</x:v>
      </x:c>
      <x:c r="M44" s="14" t="str">
        <x:v>Vendredi→lundi =2 jours OFF, 4 jours ON.</x:v>
      </x:c>
      <x:c r="N44" s="14" t="str">
        <x:v>E2E</x:v>
      </x:c>
      <x:c r="O44" s="14" t="str">
        <x:v>Sprint 3</x:v>
      </x:c>
      <x:c r="P44" s="14" t="str"/>
    </x:row>
    <x:row r="45">
      <x:c r="A45" s="16" t="str">
        <x:v>US-044</x:v>
      </x:c>
      <x:c r="B45" s="14" t="str">
        <x:v>E06</x:v>
      </x:c>
      <x:c r="C45" s="14" t="str">
        <x:v>Jours fériés</x:v>
      </x:c>
      <x:c r="D45" s="14" t="str">
        <x:v>Calendrier jours fériés</x:v>
      </x:c>
      <x:c r="E45" s="14" t="str">
        <x:v>Support calendrier national/site avec règle commerciale paramétrable.</x:v>
      </x:c>
      <x:c r="F45" s="14" t="str">
        <x:v>Must</x:v>
      </x:c>
      <x:c r="G45" s="14" t="str">
        <x:v>V1</x:v>
      </x:c>
      <x:c r="H45" s="16" t="n">
        <x:v>5</x:v>
      </x:c>
      <x:c r="I45" s="14" t="str"/>
      <x:c r="J45" s="14" t="str">
        <x:v>Fullstack</x:v>
      </x:c>
      <x:c r="K45" s="14" t="str">
        <x:v>À faire</x:v>
      </x:c>
      <x:c r="L45" s="14" t="str">
        <x:v>Moyen</x:v>
      </x:c>
      <x:c r="M45" s="14" t="str">
        <x:v>Jour férié identifié et calcul reproductible.</x:v>
      </x:c>
      <x:c r="N45" s="14" t="str">
        <x:v>E2E</x:v>
      </x:c>
      <x:c r="O45" s="14" t="str">
        <x:v>Sprint 3</x:v>
      </x:c>
      <x:c r="P45" s="14" t="str"/>
    </x:row>
    <x:row r="46">
      <x:c r="A46" s="16" t="str">
        <x:v>US-045</x:v>
      </x:c>
      <x:c r="B46" s="14" t="str">
        <x:v>E06</x:v>
      </x:c>
      <x:c r="C46" s="14" t="str">
        <x:v>Temps</x:v>
      </x:c>
      <x:c r="D46" s="14" t="str">
        <x:v>Demi-journée et heure</x:v>
      </x:c>
      <x:c r="E46" s="14" t="str">
        <x:v>Support unités jour, demi-journée, heure selon prestation/ressource.</x:v>
      </x:c>
      <x:c r="F46" s="14" t="str">
        <x:v>Must</x:v>
      </x:c>
      <x:c r="G46" s="14" t="str">
        <x:v>V1</x:v>
      </x:c>
      <x:c r="H46" s="16" t="n">
        <x:v>8</x:v>
      </x:c>
      <x:c r="I46" s="14" t="str"/>
      <x:c r="J46" s="14" t="str">
        <x:v>Fullstack</x:v>
      </x:c>
      <x:c r="K46" s="14" t="str">
        <x:v>À faire</x:v>
      </x:c>
      <x:c r="L46" s="14" t="str">
        <x:v>Moyen</x:v>
      </x:c>
      <x:c r="M46" s="14" t="str">
        <x:v>Quantité calculée selon règle unique du SchedulingEngine.</x:v>
      </x:c>
      <x:c r="N46" s="14" t="str">
        <x:v>E2E</x:v>
      </x:c>
      <x:c r="O46" s="14" t="str">
        <x:v>Sprint 3</x:v>
      </x:c>
      <x:c r="P46" s="14" t="str"/>
    </x:row>
    <x:row r="47">
      <x:c r="A47" s="16" t="str">
        <x:v>US-046</x:v>
      </x:c>
      <x:c r="B47" s="14" t="str">
        <x:v>E06</x:v>
      </x:c>
      <x:c r="C47" s="14" t="str">
        <x:v>Snapping</x:v>
      </x:c>
      <x:c r="D47" s="14" t="str">
        <x:v>Magnétisme temporel</x:v>
      </x:c>
      <x:c r="E47" s="14" t="str">
        <x:v>Pas selon vue: horaire en jour, demi-journée/jour en vues longues.</x:v>
      </x:c>
      <x:c r="F47" s="14" t="str">
        <x:v>Must</x:v>
      </x:c>
      <x:c r="G47" s="14" t="str">
        <x:v>V1</x:v>
      </x:c>
      <x:c r="H47" s="16" t="n">
        <x:v>5</x:v>
      </x:c>
      <x:c r="I47" s="14" t="str"/>
      <x:c r="J47" s="14" t="str">
        <x:v>Fullstack</x:v>
      </x:c>
      <x:c r="K47" s="14" t="str">
        <x:v>À faire</x:v>
      </x:c>
      <x:c r="L47" s="14" t="str">
        <x:v>Moyen</x:v>
      </x:c>
      <x:c r="M47" s="14" t="str">
        <x:v>Pas stable et sans dérive pixel/date.</x:v>
      </x:c>
      <x:c r="N47" s="14" t="str">
        <x:v>E2E</x:v>
      </x:c>
      <x:c r="O47" s="14" t="str">
        <x:v>Sprint 3</x:v>
      </x:c>
      <x:c r="P47" s="14" t="str"/>
    </x:row>
    <x:row r="48">
      <x:c r="A48" s="16" t="str">
        <x:v>US-047</x:v>
      </x:c>
      <x:c r="B48" s="14" t="str">
        <x:v>E06</x:v>
      </x:c>
      <x:c r="C48" s="14" t="str">
        <x:v>Ghost</x:v>
      </x:c>
      <x:c r="D48" s="14" t="str">
        <x:v>Prévisualisation ghost</x:v>
      </x:c>
      <x:c r="E48" s="14" t="str">
        <x:v>Afficher destination/durée avant drop/resize.</x:v>
      </x:c>
      <x:c r="F48" s="14" t="str">
        <x:v>Must</x:v>
      </x:c>
      <x:c r="G48" s="14" t="str">
        <x:v>V1</x:v>
      </x:c>
      <x:c r="H48" s="16" t="n">
        <x:v>3</x:v>
      </x:c>
      <x:c r="I48" s="14" t="str"/>
      <x:c r="J48" s="14" t="str">
        <x:v>Fullstack</x:v>
      </x:c>
      <x:c r="K48" s="14" t="str">
        <x:v>À faire</x:v>
      </x:c>
      <x:c r="L48" s="14" t="str">
        <x:v>Moyen</x:v>
      </x:c>
      <x:c r="M48" s="14" t="str">
        <x:v>Aucune mutation avant drop final.</x:v>
      </x:c>
      <x:c r="N48" s="14" t="str">
        <x:v>E2E</x:v>
      </x:c>
      <x:c r="O48" s="14" t="str">
        <x:v>Sprint 3</x:v>
      </x:c>
      <x:c r="P48" s="14" t="str"/>
    </x:row>
    <x:row r="49">
      <x:c r="A49" s="16" t="str">
        <x:v>US-048</x:v>
      </x:c>
      <x:c r="B49" s="14" t="str">
        <x:v>E06</x:v>
      </x:c>
      <x:c r="C49" s="14" t="str">
        <x:v>Autosave</x:v>
      </x:c>
      <x:c r="D49" s="14" t="str">
        <x:v>Sauvegarde automatique</x:v>
      </x:c>
      <x:c r="E49" s="14" t="str">
        <x:v>Indicateur Synchronisé/Sauvegarde/Hors connexion.</x:v>
      </x:c>
      <x:c r="F49" s="14" t="str">
        <x:v>Must</x:v>
      </x:c>
      <x:c r="G49" s="14" t="str">
        <x:v>V1</x:v>
      </x:c>
      <x:c r="H49" s="16" t="n">
        <x:v>5</x:v>
      </x:c>
      <x:c r="I49" s="14" t="str"/>
      <x:c r="J49" s="14" t="str">
        <x:v>Fullstack</x:v>
      </x:c>
      <x:c r="K49" s="14" t="str">
        <x:v>À faire</x:v>
      </x:c>
      <x:c r="L49" s="14" t="str">
        <x:v>Moyen</x:v>
      </x:c>
      <x:c r="M49" s="14" t="str">
        <x:v>Pas de bouton Sauvegarder nécessaire.</x:v>
      </x:c>
      <x:c r="N49" s="14" t="str">
        <x:v>E2E</x:v>
      </x:c>
      <x:c r="O49" s="14" t="str">
        <x:v>Sprint 4</x:v>
      </x:c>
      <x:c r="P49" s="14" t="str"/>
    </x:row>
    <x:row r="50">
      <x:c r="A50" s="16" t="str">
        <x:v>US-049</x:v>
      </x:c>
      <x:c r="B50" s="14" t="str">
        <x:v>E07</x:v>
      </x:c>
      <x:c r="C50" s="14" t="str">
        <x:v>Consommation</x:v>
      </x:c>
      <x:c r="D50" s="14" t="str">
        <x:v>Calculer vendu/planifié/reste</x:v>
      </x:c>
      <x:c r="E50" s="14" t="str">
        <x:v>Pour chaque ligne planifiable, calculer quantité vendue, planifiée, reste, dépassement.</x:v>
      </x:c>
      <x:c r="F50" s="14" t="str">
        <x:v>Must</x:v>
      </x:c>
      <x:c r="G50" s="14" t="str">
        <x:v>V1</x:v>
      </x:c>
      <x:c r="H50" s="16" t="n">
        <x:v>13</x:v>
      </x:c>
      <x:c r="I50" s="14" t="str"/>
      <x:c r="J50" s="14" t="str">
        <x:v>Backend</x:v>
      </x:c>
      <x:c r="K50" s="14" t="str">
        <x:v>À faire</x:v>
      </x:c>
      <x:c r="L50" s="14" t="str">
        <x:v>Élevé</x:v>
      </x:c>
      <x:c r="M50" s="14" t="str">
        <x:v>Calcul serveur déterministe; identique dans API et dashboard.</x:v>
      </x:c>
      <x:c r="N50" s="14" t="str">
        <x:v>E2E</x:v>
      </x:c>
      <x:c r="O50" s="14" t="str">
        <x:v>Sprint 4</x:v>
      </x:c>
      <x:c r="P50" s="14" t="str"/>
    </x:row>
    <x:row r="51">
      <x:c r="A51" s="16" t="str">
        <x:v>US-050</x:v>
      </x:c>
      <x:c r="B51" s="14" t="str">
        <x:v>E07</x:v>
      </x:c>
      <x:c r="C51" s="14" t="str">
        <x:v>Mapping</x:v>
      </x:c>
      <x:c r="D51" s="14" t="str">
        <x:v>Lier réservation à la ligne de devis</x:v>
      </x:c>
      <x:c r="E51" s="14" t="str">
        <x:v>Conserver project_id, quote_id, quote_line_id, service_id.</x:v>
      </x:c>
      <x:c r="F51" s="14" t="str">
        <x:v>Must</x:v>
      </x:c>
      <x:c r="G51" s="14" t="str">
        <x:v>V1</x:v>
      </x:c>
      <x:c r="H51" s="16" t="n">
        <x:v>8</x:v>
      </x:c>
      <x:c r="I51" s="14" t="str"/>
      <x:c r="J51" s="14" t="str">
        <x:v>Backend</x:v>
      </x:c>
      <x:c r="K51" s="14" t="str">
        <x:v>À faire</x:v>
      </x:c>
      <x:c r="L51" s="14" t="str">
        <x:v>Moyen</x:v>
      </x:c>
      <x:c r="M51" s="14" t="str">
        <x:v>Traçabilité complète jusqu’à réservation.</x:v>
      </x:c>
      <x:c r="N51" s="14" t="str">
        <x:v>E2E</x:v>
      </x:c>
      <x:c r="O51" s="14" t="str">
        <x:v>Sprint 4</x:v>
      </x:c>
      <x:c r="P51" s="14" t="str"/>
    </x:row>
    <x:row r="52">
      <x:c r="A52" s="16" t="str">
        <x:v>US-051</x:v>
      </x:c>
      <x:c r="B52" s="14" t="str">
        <x:v>E07</x:v>
      </x:c>
      <x:c r="C52" s="14" t="str">
        <x:v>Statuts</x:v>
      </x:c>
      <x:c r="D52" s="14" t="str">
        <x:v>Statut de planification</x:v>
      </x:c>
      <x:c r="E52" s="14" t="str">
        <x:v>Non planifié, partiel, conforme, dépassement, validé.</x:v>
      </x:c>
      <x:c r="F52" s="14" t="str">
        <x:v>Must</x:v>
      </x:c>
      <x:c r="G52" s="14" t="str">
        <x:v>V1</x:v>
      </x:c>
      <x:c r="H52" s="16" t="n">
        <x:v>5</x:v>
      </x:c>
      <x:c r="I52" s="14" t="str"/>
      <x:c r="J52" s="14" t="str">
        <x:v>Backend</x:v>
      </x:c>
      <x:c r="K52" s="14" t="str">
        <x:v>À faire</x:v>
      </x:c>
      <x:c r="L52" s="14" t="str">
        <x:v>Moyen</x:v>
      </x:c>
      <x:c r="M52" s="14" t="str">
        <x:v>Statut global dérivé des prestations planifiables.</x:v>
      </x:c>
      <x:c r="N52" s="14" t="str">
        <x:v>E2E</x:v>
      </x:c>
      <x:c r="O52" s="14" t="str">
        <x:v>Sprint 4</x:v>
      </x:c>
      <x:c r="P52" s="14" t="str"/>
    </x:row>
    <x:row r="53">
      <x:c r="A53" s="16" t="str">
        <x:v>US-052</x:v>
      </x:c>
      <x:c r="B53" s="14" t="str">
        <x:v>E07</x:v>
      </x:c>
      <x:c r="C53" s="14" t="str">
        <x:v>Complément</x:v>
      </x:c>
      <x:c r="D53" s="14" t="str">
        <x:v>Créer devis complémentaire brouillon</x:v>
      </x:c>
      <x:c r="E53" s="14" t="str">
        <x:v>Premier dépassement crée un complément brouillon par projet.</x:v>
      </x:c>
      <x:c r="F53" s="14" t="str">
        <x:v>Must</x:v>
      </x:c>
      <x:c r="G53" s="14" t="str">
        <x:v>V1</x:v>
      </x:c>
      <x:c r="H53" s="16" t="n">
        <x:v>13</x:v>
      </x:c>
      <x:c r="I53" s="14" t="str"/>
      <x:c r="J53" s="14" t="str">
        <x:v>Backend</x:v>
      </x:c>
      <x:c r="K53" s="14" t="str">
        <x:v>À faire</x:v>
      </x:c>
      <x:c r="L53" s="14" t="str">
        <x:v>Élevé</x:v>
      </x:c>
      <x:c r="M53" s="14" t="str">
        <x:v>Pas de doublon; tarif client/générique appliqué.</x:v>
      </x:c>
      <x:c r="N53" s="14" t="str">
        <x:v>E2E</x:v>
      </x:c>
      <x:c r="O53" s="14" t="str">
        <x:v>Sprint 4</x:v>
      </x:c>
      <x:c r="P53" s="14" t="str"/>
    </x:row>
    <x:row r="54">
      <x:c r="A54" s="16" t="str">
        <x:v>US-053</x:v>
      </x:c>
      <x:c r="B54" s="14" t="str">
        <x:v>E07</x:v>
      </x:c>
      <x:c r="C54" s="14" t="str">
        <x:v>Complément</x:v>
      </x:c>
      <x:c r="D54" s="14" t="str">
        <x:v>Synchroniser complément brouillon</x:v>
      </x:c>
      <x:c r="E54" s="14" t="str">
        <x:v>+5→+3 met à jour quantité; 0 supprime/annule ligne selon audit.</x:v>
      </x:c>
      <x:c r="F54" s="14" t="str">
        <x:v>Must</x:v>
      </x:c>
      <x:c r="G54" s="14" t="str">
        <x:v>V1</x:v>
      </x:c>
      <x:c r="H54" s="16" t="n">
        <x:v>8</x:v>
      </x:c>
      <x:c r="I54" s="14" t="str"/>
      <x:c r="J54" s="14" t="str">
        <x:v>Backend</x:v>
      </x:c>
      <x:c r="K54" s="14" t="str">
        <x:v>À faire</x:v>
      </x:c>
      <x:c r="L54" s="14" t="str">
        <x:v>Moyen</x:v>
      </x:c>
      <x:c r="M54" s="14" t="str">
        <x:v>Synchronisation transactionnelle avec planning.</x:v>
      </x:c>
      <x:c r="N54" s="14" t="str">
        <x:v>E2E</x:v>
      </x:c>
      <x:c r="O54" s="14" t="str">
        <x:v>Sprint 4</x:v>
      </x:c>
      <x:c r="P54" s="14" t="str"/>
    </x:row>
    <x:row r="55">
      <x:c r="A55" s="16" t="str">
        <x:v>US-054</x:v>
      </x:c>
      <x:c r="B55" s="14" t="str">
        <x:v>E07</x:v>
      </x:c>
      <x:c r="C55" s="14" t="str">
        <x:v>Complément</x:v>
      </x:c>
      <x:c r="D55" s="14" t="str">
        <x:v>Figer complément envoyé/validé</x:v>
      </x:c>
      <x:c r="E55" s="14" t="str">
        <x:v>Après envoi, aucune modification automatique.</x:v>
      </x:c>
      <x:c r="F55" s="14" t="str">
        <x:v>Must</x:v>
      </x:c>
      <x:c r="G55" s="14" t="str">
        <x:v>V1</x:v>
      </x:c>
      <x:c r="H55" s="16" t="n">
        <x:v>5</x:v>
      </x:c>
      <x:c r="I55" s="14" t="str"/>
      <x:c r="J55" s="14" t="str">
        <x:v>Backend</x:v>
      </x:c>
      <x:c r="K55" s="14" t="str">
        <x:v>À faire</x:v>
      </x:c>
      <x:c r="L55" s="14" t="str">
        <x:v>Moyen</x:v>
      </x:c>
      <x:c r="M55" s="14" t="str">
        <x:v>Nouveau dépassement crée complément n°2.</x:v>
      </x:c>
      <x:c r="N55" s="14" t="str">
        <x:v>E2E</x:v>
      </x:c>
      <x:c r="O55" s="14" t="str">
        <x:v>Sprint 4</x:v>
      </x:c>
      <x:c r="P55" s="14" t="str"/>
    </x:row>
    <x:row r="56">
      <x:c r="A56" s="16" t="str">
        <x:v>US-055</x:v>
      </x:c>
      <x:c r="B56" s="14" t="str">
        <x:v>E07</x:v>
      </x:c>
      <x:c r="C56" s="14" t="str">
        <x:v>Base vendue</x:v>
      </x:c>
      <x:c r="D56" s="14" t="str">
        <x:v>Réintégrer les compléments validés</x:v>
      </x:c>
      <x:c r="E56" s="14" t="str">
        <x:v>Quantité vendue totale = devis principal + compléments validés.</x:v>
      </x:c>
      <x:c r="F56" s="14" t="str">
        <x:v>Must</x:v>
      </x:c>
      <x:c r="G56" s="14" t="str">
        <x:v>V1</x:v>
      </x:c>
      <x:c r="H56" s="16" t="n">
        <x:v>8</x:v>
      </x:c>
      <x:c r="I56" s="14" t="str"/>
      <x:c r="J56" s="14" t="str">
        <x:v>Backend</x:v>
      </x:c>
      <x:c r="K56" s="14" t="str">
        <x:v>À faire</x:v>
      </x:c>
      <x:c r="L56" s="14" t="str">
        <x:v>Moyen</x:v>
      </x:c>
      <x:c r="M56" s="14" t="str">
        <x:v>23 planifiés / 23 vendus = conforme après complément validé.</x:v>
      </x:c>
      <x:c r="N56" s="14" t="str">
        <x:v>E2E</x:v>
      </x:c>
      <x:c r="O56" s="14" t="str">
        <x:v>Sprint 4</x:v>
      </x:c>
      <x:c r="P56" s="14" t="str"/>
    </x:row>
    <x:row r="57">
      <x:c r="A57" s="16" t="str">
        <x:v>US-056</x:v>
      </x:c>
      <x:c r="B57" s="14" t="str">
        <x:v>E07</x:v>
      </x:c>
      <x:c r="C57" s="14" t="str">
        <x:v>Non planifiable</x:v>
      </x:c>
      <x:c r="D57" s="14" t="str">
        <x:v>Exclure prestations non planifiables</x:v>
      </x:c>
      <x:c r="E57" s="14" t="str">
        <x:v>Stockage, forfait, frais ne bloquent pas la complétude du planning.</x:v>
      </x:c>
      <x:c r="F57" s="14" t="str">
        <x:v>Must</x:v>
      </x:c>
      <x:c r="G57" s="14" t="str">
        <x:v>V1</x:v>
      </x:c>
      <x:c r="H57" s="16" t="n">
        <x:v>3</x:v>
      </x:c>
      <x:c r="I57" s="14" t="str"/>
      <x:c r="J57" s="14" t="str">
        <x:v>Backend</x:v>
      </x:c>
      <x:c r="K57" s="14" t="str">
        <x:v>À faire</x:v>
      </x:c>
      <x:c r="L57" s="14" t="str">
        <x:v>Moyen</x:v>
      </x:c>
      <x:c r="M57" s="14" t="str">
        <x:v>Taux planification calculé uniquement sur lignes planifiables.</x:v>
      </x:c>
      <x:c r="N57" s="14" t="str">
        <x:v>E2E</x:v>
      </x:c>
      <x:c r="O57" s="14" t="str">
        <x:v>Sprint 4</x:v>
      </x:c>
      <x:c r="P57" s="14" t="str"/>
    </x:row>
    <x:row r="58">
      <x:c r="A58" s="16" t="str">
        <x:v>US-057</x:v>
      </x:c>
      <x:c r="B58" s="14" t="str">
        <x:v>E08</x:v>
      </x:c>
      <x:c r="C58" s="14" t="str">
        <x:v>Assistant</x:v>
      </x:c>
      <x:c r="D58" s="14" t="str">
        <x:v>Panneau PLANYBOT contextuel</x:v>
      </x:c>
      <x:c r="E58" s="14" t="str">
        <x:v>Afficher à planifier, conforme, dépassements et actions.</x:v>
      </x:c>
      <x:c r="F58" s="14" t="str">
        <x:v>Must</x:v>
      </x:c>
      <x:c r="G58" s="14" t="str">
        <x:v>V1</x:v>
      </x:c>
      <x:c r="H58" s="16" t="n">
        <x:v>8</x:v>
      </x:c>
      <x:c r="I58" s="14" t="str"/>
      <x:c r="J58" s="14" t="str">
        <x:v>Data/IA</x:v>
      </x:c>
      <x:c r="K58" s="14" t="str">
        <x:v>À faire</x:v>
      </x:c>
      <x:c r="L58" s="14" t="str">
        <x:v>Moyen</x:v>
      </x:c>
      <x:c r="M58" s="14" t="str">
        <x:v>Panneau repliable; données temps réel.</x:v>
      </x:c>
      <x:c r="N58" s="14" t="str">
        <x:v>E2E</x:v>
      </x:c>
      <x:c r="O58" s="14" t="str">
        <x:v>Sprint 6</x:v>
      </x:c>
      <x:c r="P58" s="14" t="str"/>
    </x:row>
    <x:row r="59">
      <x:c r="A59" s="16" t="str">
        <x:v>US-058</x:v>
      </x:c>
      <x:c r="B59" s="14" t="str">
        <x:v>E08</x:v>
      </x:c>
      <x:c r="C59" s="14" t="str">
        <x:v>Dialogue</x:v>
      </x:c>
      <x:c r="D59" s="14" t="str">
        <x:v>Conversation PLANYBOT</x:v>
      </x:c>
      <x:c r="E59" s="14" t="str">
        <x:v>Répondre sur projet, devis, planning et disponibilité.</x:v>
      </x:c>
      <x:c r="F59" s="14" t="str">
        <x:v>Must</x:v>
      </x:c>
      <x:c r="G59" s="14" t="str">
        <x:v>V1</x:v>
      </x:c>
      <x:c r="H59" s="16" t="n">
        <x:v>8</x:v>
      </x:c>
      <x:c r="I59" s="14" t="str"/>
      <x:c r="J59" s="14" t="str">
        <x:v>Data/IA</x:v>
      </x:c>
      <x:c r="K59" s="14" t="str">
        <x:v>À faire</x:v>
      </x:c>
      <x:c r="L59" s="14" t="str">
        <x:v>Moyen</x:v>
      </x:c>
      <x:c r="M59" s="14" t="str">
        <x:v>Réponses sourcées depuis données structurées; pas d’invention de quantité.</x:v>
      </x:c>
      <x:c r="N59" s="14" t="str">
        <x:v>E2E</x:v>
      </x:c>
      <x:c r="O59" s="14" t="str">
        <x:v>Sprint 6</x:v>
      </x:c>
      <x:c r="P59" s="14" t="str"/>
    </x:row>
    <x:row r="60">
      <x:c r="A60" s="16" t="str">
        <x:v>US-059</x:v>
      </x:c>
      <x:c r="B60" s="14" t="str">
        <x:v>E08</x:v>
      </x:c>
      <x:c r="C60" s="14" t="str">
        <x:v>Recommandation</x:v>
      </x:c>
      <x:c r="D60" s="14" t="str">
        <x:v>Suggérer ressources</x:v>
      </x:c>
      <x:c r="E60" s="14" t="str">
        <x:v>Priorités: disponibilité → continuité → préférence client → site → coût.</x:v>
      </x:c>
      <x:c r="F60" s="14" t="str">
        <x:v>Must</x:v>
      </x:c>
      <x:c r="G60" s="14" t="str">
        <x:v>V1</x:v>
      </x:c>
      <x:c r="H60" s="16" t="n">
        <x:v>13</x:v>
      </x:c>
      <x:c r="I60" s="14" t="str"/>
      <x:c r="J60" s="14" t="str">
        <x:v>Data/IA</x:v>
      </x:c>
      <x:c r="K60" s="14" t="str">
        <x:v>À faire</x:v>
      </x:c>
      <x:c r="L60" s="14" t="str">
        <x:v>Élevé</x:v>
      </x:c>
      <x:c r="M60" s="14" t="str">
        <x:v>Chaque proposition explique ses critères.</x:v>
      </x:c>
      <x:c r="N60" s="14" t="str">
        <x:v>AI Eval</x:v>
      </x:c>
      <x:c r="O60" s="14" t="str">
        <x:v>Sprint 6</x:v>
      </x:c>
      <x:c r="P60" s="14" t="str"/>
    </x:row>
    <x:row r="61">
      <x:c r="A61" s="16" t="str">
        <x:v>US-060</x:v>
      </x:c>
      <x:c r="B61" s="14" t="str">
        <x:v>E08</x:v>
      </x:c>
      <x:c r="C61" s="14" t="str">
        <x:v>Action IA</x:v>
      </x:c>
      <x:c r="D61" s="14" t="str">
        <x:v>Créer réservation après confirmation</x:v>
      </x:c>
      <x:c r="E61" s="14" t="str">
        <x:v>PLANYBOT prépare proposition, utilisateur confirme, moteur crée.</x:v>
      </x:c>
      <x:c r="F61" s="14" t="str">
        <x:v>Must</x:v>
      </x:c>
      <x:c r="G61" s="14" t="str">
        <x:v>V1</x:v>
      </x:c>
      <x:c r="H61" s="16" t="n">
        <x:v>13</x:v>
      </x:c>
      <x:c r="I61" s="14" t="str"/>
      <x:c r="J61" s="14" t="str">
        <x:v>Data/IA</x:v>
      </x:c>
      <x:c r="K61" s="14" t="str">
        <x:v>À faire</x:v>
      </x:c>
      <x:c r="L61" s="14" t="str">
        <x:v>Élevé</x:v>
      </x:c>
      <x:c r="M61" s="14" t="str">
        <x:v>Aucune mutation silencieuse; action auditée.</x:v>
      </x:c>
      <x:c r="N61" s="14" t="str">
        <x:v>AI Eval</x:v>
      </x:c>
      <x:c r="O61" s="14" t="str">
        <x:v>Sprint 6</x:v>
      </x:c>
      <x:c r="P61" s="14" t="str"/>
    </x:row>
    <x:row r="62">
      <x:c r="A62" s="16" t="str">
        <x:v>US-061</x:v>
      </x:c>
      <x:c r="B62" s="14" t="str">
        <x:v>E08</x:v>
      </x:c>
      <x:c r="C62" s="14" t="str">
        <x:v>Action IA</x:v>
      </x:c>
      <x:c r="D62" s="14" t="str">
        <x:v>Répartir une quantité vendue</x:v>
      </x:c>
      <x:c r="E62" s="14" t="str">
        <x:v>Ex: « place 20 jours de montage » avec preview et contraintes.</x:v>
      </x:c>
      <x:c r="F62" s="14" t="str">
        <x:v>Should</x:v>
      </x:c>
      <x:c r="G62" s="14" t="str">
        <x:v>V2</x:v>
      </x:c>
      <x:c r="H62" s="16" t="n">
        <x:v>13</x:v>
      </x:c>
      <x:c r="I62" s="14" t="str"/>
      <x:c r="J62" s="14" t="str">
        <x:v>À affecter</x:v>
      </x:c>
      <x:c r="K62" s="14" t="str">
        <x:v>À faire</x:v>
      </x:c>
      <x:c r="L62" s="14" t="str">
        <x:v>Élevé</x:v>
      </x:c>
      <x:c r="M62" s="14" t="str">
        <x:v>Preview complet; aucune réservation avant confirmation.</x:v>
      </x:c>
      <x:c r="N62" s="14" t="str">
        <x:v>AI Eval</x:v>
      </x:c>
      <x:c r="O62" s="14" t="str"/>
      <x:c r="P62" s="14" t="str"/>
    </x:row>
    <x:row r="63">
      <x:c r="A63" s="16" t="str">
        <x:v>US-062</x:v>
      </x:c>
      <x:c r="B63" s="14" t="str">
        <x:v>E08</x:v>
      </x:c>
      <x:c r="C63" s="14" t="str">
        <x:v>Import Excel</x:v>
      </x:c>
      <x:c r="D63" s="14" t="str">
        <x:v>Analyser planning Excel client</x:v>
      </x:c>
      <x:c r="E63" s="14" t="str">
        <x:v>Extraire dates, prestations, ressources, durées, commentaires, ambiguïtés.</x:v>
      </x:c>
      <x:c r="F63" s="14" t="str">
        <x:v>Must</x:v>
      </x:c>
      <x:c r="G63" s="14" t="str">
        <x:v>V1</x:v>
      </x:c>
      <x:c r="H63" s="16" t="n">
        <x:v>13</x:v>
      </x:c>
      <x:c r="I63" s="14" t="str"/>
      <x:c r="J63" s="14" t="str">
        <x:v>Data/IA</x:v>
      </x:c>
      <x:c r="K63" s="14" t="str">
        <x:v>À faire</x:v>
      </x:c>
      <x:c r="L63" s="14" t="str">
        <x:v>Élevé</x:v>
      </x:c>
      <x:c r="M63" s="14" t="str">
        <x:v>Prévisualisation structurée avant création.</x:v>
      </x:c>
      <x:c r="N63" s="14" t="str">
        <x:v>AI Eval</x:v>
      </x:c>
      <x:c r="O63" s="14" t="str">
        <x:v>Sprint 6</x:v>
      </x:c>
      <x:c r="P63" s="14" t="str"/>
    </x:row>
    <x:row r="64">
      <x:c r="A64" s="16" t="str">
        <x:v>US-063</x:v>
      </x:c>
      <x:c r="B64" s="14" t="str">
        <x:v>E08</x:v>
      </x:c>
      <x:c r="C64" s="14" t="str">
        <x:v>Import Excel</x:v>
      </x:c>
      <x:c r="D64" s="14" t="str">
        <x:v>Dialogue de clarification</x:v>
      </x:c>
      <x:c r="E64" s="14" t="str">
        <x:v>PLANYBOT pose questions sur cellules ambiguës/manquantes.</x:v>
      </x:c>
      <x:c r="F64" s="14" t="str">
        <x:v>Must</x:v>
      </x:c>
      <x:c r="G64" s="14" t="str">
        <x:v>V1</x:v>
      </x:c>
      <x:c r="H64" s="16" t="n">
        <x:v>8</x:v>
      </x:c>
      <x:c r="I64" s="14" t="str"/>
      <x:c r="J64" s="14" t="str">
        <x:v>Data/IA</x:v>
      </x:c>
      <x:c r="K64" s="14" t="str">
        <x:v>À faire</x:v>
      </x:c>
      <x:c r="L64" s="14" t="str">
        <x:v>Moyen</x:v>
      </x:c>
      <x:c r="M64" s="14" t="str">
        <x:v>Aucune donnée incertaine créée sans validation.</x:v>
      </x:c>
      <x:c r="N64" s="14" t="str">
        <x:v>E2E</x:v>
      </x:c>
      <x:c r="O64" s="14" t="str">
        <x:v>Sprint 6</x:v>
      </x:c>
      <x:c r="P64" s="14" t="str"/>
    </x:row>
    <x:row r="65">
      <x:c r="A65" s="16" t="str">
        <x:v>US-064</x:v>
      </x:c>
      <x:c r="B65" s="14" t="str">
        <x:v>E08</x:v>
      </x:c>
      <x:c r="C65" s="14" t="str">
        <x:v>Audit IA</x:v>
      </x:c>
      <x:c r="D65" s="14" t="str">
        <x:v>Historiser actions PLANYBOT</x:v>
      </x:c>
      <x:c r="E65" s="14" t="str">
        <x:v>Prompt métier, proposition, confirmation, action, résultat.</x:v>
      </x:c>
      <x:c r="F65" s="14" t="str">
        <x:v>Must</x:v>
      </x:c>
      <x:c r="G65" s="14" t="str">
        <x:v>V1</x:v>
      </x:c>
      <x:c r="H65" s="16" t="n">
        <x:v>5</x:v>
      </x:c>
      <x:c r="I65" s="14" t="str"/>
      <x:c r="J65" s="14" t="str">
        <x:v>Data/IA</x:v>
      </x:c>
      <x:c r="K65" s="14" t="str">
        <x:v>À faire</x:v>
      </x:c>
      <x:c r="L65" s="14" t="str">
        <x:v>Moyen</x:v>
      </x:c>
      <x:c r="M65" s="14" t="str">
        <x:v>Audit consultable sans stocker inutilement données sensibles.</x:v>
      </x:c>
      <x:c r="N65" s="14" t="str">
        <x:v>E2E</x:v>
      </x:c>
      <x:c r="O65" s="14" t="str">
        <x:v>Sprint 6</x:v>
      </x:c>
      <x:c r="P65" s="14" t="str"/>
    </x:row>
    <x:row r="66">
      <x:c r="A66" s="16" t="str">
        <x:v>US-065</x:v>
      </x:c>
      <x:c r="B66" s="14" t="str">
        <x:v>E09</x:v>
      </x:c>
      <x:c r="C66" s="14" t="str">
        <x:v>Ressources</x:v>
      </x:c>
      <x:c r="D66" s="14" t="str">
        <x:v>CRUD ressource</x:v>
      </x:c>
      <x:c r="E66" s="14" t="str">
        <x:v>Salle, personne, équipement, studio, licence, pool.</x:v>
      </x:c>
      <x:c r="F66" s="14" t="str">
        <x:v>Must</x:v>
      </x:c>
      <x:c r="G66" s="14" t="str">
        <x:v>V1</x:v>
      </x:c>
      <x:c r="H66" s="16" t="n">
        <x:v>8</x:v>
      </x:c>
      <x:c r="I66" s="14" t="str"/>
      <x:c r="J66" s="14" t="str">
        <x:v>Backend</x:v>
      </x:c>
      <x:c r="K66" s="14" t="str">
        <x:v>À faire</x:v>
      </x:c>
      <x:c r="L66" s="14" t="str">
        <x:v>Moyen</x:v>
      </x:c>
      <x:c r="M66" s="14" t="str">
        <x:v>Type, site, capacité, compétences/tags.</x:v>
      </x:c>
      <x:c r="N66" s="14" t="str">
        <x:v>E2E</x:v>
      </x:c>
      <x:c r="O66" s="14" t="str">
        <x:v>Sprint 2</x:v>
      </x:c>
      <x:c r="P66" s="14" t="str"/>
    </x:row>
    <x:row r="67">
      <x:c r="A67" s="16" t="str">
        <x:v>US-066</x:v>
      </x:c>
      <x:c r="B67" s="14" t="str">
        <x:v>E09</x:v>
      </x:c>
      <x:c r="C67" s="14" t="str">
        <x:v>Capacité</x:v>
      </x:c>
      <x:c r="D67" s="14" t="str">
        <x:v>Gérer capacité &gt;1</x:v>
      </x:c>
      <x:c r="E67" s="14" t="str">
        <x:v>Permettre pool de licences/ressources quantitatives.</x:v>
      </x:c>
      <x:c r="F67" s="14" t="str">
        <x:v>Must</x:v>
      </x:c>
      <x:c r="G67" s="14" t="str">
        <x:v>V1</x:v>
      </x:c>
      <x:c r="H67" s="16" t="n">
        <x:v>8</x:v>
      </x:c>
      <x:c r="I67" s="14" t="str"/>
      <x:c r="J67" s="14" t="str">
        <x:v>Backend</x:v>
      </x:c>
      <x:c r="K67" s="14" t="str">
        <x:v>À faire</x:v>
      </x:c>
      <x:c r="L67" s="14" t="str">
        <x:v>Moyen</x:v>
      </x:c>
      <x:c r="M67" s="14" t="str">
        <x:v>Conflit déclenché seulement au dépassement capacité.</x:v>
      </x:c>
      <x:c r="N67" s="14" t="str">
        <x:v>E2E</x:v>
      </x:c>
      <x:c r="O67" s="14" t="str">
        <x:v>Sprint 2</x:v>
      </x:c>
      <x:c r="P67" s="14" t="str"/>
    </x:row>
    <x:row r="68">
      <x:c r="A68" s="16" t="str">
        <x:v>US-067</x:v>
      </x:c>
      <x:c r="B68" s="14" t="str">
        <x:v>E09</x:v>
      </x:c>
      <x:c r="C68" s="14" t="str">
        <x:v>Maintenance</x:v>
      </x:c>
      <x:c r="D68" s="14" t="str">
        <x:v>Bloquer maintenance</x:v>
      </x:c>
      <x:c r="E68" s="14" t="str">
        <x:v>Créer indisponibilité maintenance visible.</x:v>
      </x:c>
      <x:c r="F68" s="14" t="str">
        <x:v>Must</x:v>
      </x:c>
      <x:c r="G68" s="14" t="str">
        <x:v>V1</x:v>
      </x:c>
      <x:c r="H68" s="16" t="n">
        <x:v>5</x:v>
      </x:c>
      <x:c r="I68" s="14" t="str"/>
      <x:c r="J68" s="14" t="str">
        <x:v>Backend</x:v>
      </x:c>
      <x:c r="K68" s="14" t="str">
        <x:v>À faire</x:v>
      </x:c>
      <x:c r="L68" s="14" t="str">
        <x:v>Moyen</x:v>
      </x:c>
      <x:c r="M68" s="14" t="str">
        <x:v>Maintenance empêche confirmation normale.</x:v>
      </x:c>
      <x:c r="N68" s="14" t="str">
        <x:v>E2E</x:v>
      </x:c>
      <x:c r="O68" s="14" t="str">
        <x:v>Sprint 2</x:v>
      </x:c>
      <x:c r="P68" s="14" t="str"/>
    </x:row>
    <x:row r="69">
      <x:c r="A69" s="16" t="str">
        <x:v>US-068</x:v>
      </x:c>
      <x:c r="B69" s="14" t="str">
        <x:v>E09</x:v>
      </x:c>
      <x:c r="C69" s="14" t="str">
        <x:v>Options</x:v>
      </x:c>
      <x:c r="D69" s="14" t="str">
        <x:v>Double option</x:v>
      </x:c>
      <x:c r="E69" s="14" t="str">
        <x:v>Autoriser deux options sur même ressource; premier projet confirmé prend priorité.</x:v>
      </x:c>
      <x:c r="F69" s="14" t="str">
        <x:v>Must</x:v>
      </x:c>
      <x:c r="G69" s="14" t="str">
        <x:v>V1</x:v>
      </x:c>
      <x:c r="H69" s="16" t="n">
        <x:v>13</x:v>
      </x:c>
      <x:c r="I69" s="14" t="str"/>
      <x:c r="J69" s="14" t="str">
        <x:v>Backend</x:v>
      </x:c>
      <x:c r="K69" s="14" t="str">
        <x:v>À faire</x:v>
      </x:c>
      <x:c r="L69" s="14" t="str">
        <x:v>Élevé</x:v>
      </x:c>
      <x:c r="M69" s="14" t="str">
        <x:v>Priorité déterministe; second projet reçoit alerte/action alternative.</x:v>
      </x:c>
      <x:c r="N69" s="14" t="str">
        <x:v>E2E</x:v>
      </x:c>
      <x:c r="O69" s="14" t="str">
        <x:v>Sprint 5</x:v>
      </x:c>
      <x:c r="P69" s="14" t="str"/>
    </x:row>
    <x:row r="70">
      <x:c r="A70" s="16" t="str">
        <x:v>US-069</x:v>
      </x:c>
      <x:c r="B70" s="14" t="str">
        <x:v>E09</x:v>
      </x:c>
      <x:c r="C70" s="14" t="str">
        <x:v>Statuts</x:v>
      </x:c>
      <x:c r="D70" s="14" t="str">
        <x:v>Statuts réservation</x:v>
      </x:c>
      <x:c r="E70" s="14" t="str">
        <x:v>Brouillon, option, confirmé, réalisé, annulé, indisponible, maintenance.</x:v>
      </x:c>
      <x:c r="F70" s="14" t="str">
        <x:v>Must</x:v>
      </x:c>
      <x:c r="G70" s="14" t="str">
        <x:v>V1</x:v>
      </x:c>
      <x:c r="H70" s="16" t="n">
        <x:v>5</x:v>
      </x:c>
      <x:c r="I70" s="14" t="str"/>
      <x:c r="J70" s="14" t="str">
        <x:v>Backend</x:v>
      </x:c>
      <x:c r="K70" s="14" t="str">
        <x:v>À faire</x:v>
      </x:c>
      <x:c r="L70" s="14" t="str">
        <x:v>Moyen</x:v>
      </x:c>
      <x:c r="M70" s="14" t="str">
        <x:v>Transitions autorisées définies et auditées.</x:v>
      </x:c>
      <x:c r="N70" s="14" t="str">
        <x:v>E2E</x:v>
      </x:c>
      <x:c r="O70" s="14" t="str">
        <x:v>Sprint 2</x:v>
      </x:c>
      <x:c r="P70" s="14" t="str"/>
    </x:row>
    <x:row r="71">
      <x:c r="A71" s="16" t="str">
        <x:v>US-070</x:v>
      </x:c>
      <x:c r="B71" s="14" t="str">
        <x:v>E09</x:v>
      </x:c>
      <x:c r="C71" s="14" t="str">
        <x:v>Ressource générique</x:v>
      </x:c>
      <x:c r="D71" s="14" t="str">
        <x:v>Salle à définir</x:v>
      </x:c>
      <x:c r="E71" s="14" t="str">
        <x:v>Réserver capacité sans salle précise puis affecter plus tard.</x:v>
      </x:c>
      <x:c r="F71" s="14" t="str">
        <x:v>Must</x:v>
      </x:c>
      <x:c r="G71" s="14" t="str">
        <x:v>V1</x:v>
      </x:c>
      <x:c r="H71" s="16" t="n">
        <x:v>8</x:v>
      </x:c>
      <x:c r="I71" s="14" t="str"/>
      <x:c r="J71" s="14" t="str">
        <x:v>Backend</x:v>
      </x:c>
      <x:c r="K71" s="14" t="str">
        <x:v>À faire</x:v>
      </x:c>
      <x:c r="L71" s="14" t="str">
        <x:v>Moyen</x:v>
      </x:c>
      <x:c r="M71" s="14" t="str">
        <x:v>PLANYBOT peut proposer une salle réelle.</x:v>
      </x:c>
      <x:c r="N71" s="14" t="str">
        <x:v>E2E</x:v>
      </x:c>
      <x:c r="O71" s="14" t="str">
        <x:v>Sprint 5</x:v>
      </x:c>
      <x:c r="P71" s="14" t="str"/>
    </x:row>
    <x:row r="72">
      <x:c r="A72" s="16" t="str">
        <x:v>US-071</x:v>
      </x:c>
      <x:c r="B72" s="14" t="str">
        <x:v>E09</x:v>
      </x:c>
      <x:c r="C72" s="14" t="str">
        <x:v>Personnel</x:v>
      </x:c>
      <x:c r="D72" s="14" t="str">
        <x:v>Compétences &amp; indisponibilités</x:v>
      </x:c>
      <x:c r="E72" s="14" t="str">
        <x:v>Compétences, congés, RTT, maladie, indisponibilités.</x:v>
      </x:c>
      <x:c r="F72" s="14" t="str">
        <x:v>Should</x:v>
      </x:c>
      <x:c r="G72" s="14" t="str">
        <x:v>V1</x:v>
      </x:c>
      <x:c r="H72" s="16" t="n">
        <x:v>8</x:v>
      </x:c>
      <x:c r="I72" s="14" t="str"/>
      <x:c r="J72" s="14" t="str">
        <x:v>Backend</x:v>
      </x:c>
      <x:c r="K72" s="14" t="str">
        <x:v>À faire</x:v>
      </x:c>
      <x:c r="L72" s="14" t="str">
        <x:v>Moyen</x:v>
      </x:c>
      <x:c r="M72" s="14" t="str">
        <x:v>Recherche PLANYBOT filtre selon compétences et disponibilité.</x:v>
      </x:c>
      <x:c r="N72" s="14" t="str">
        <x:v>E2E</x:v>
      </x:c>
      <x:c r="O72" s="14" t="str">
        <x:v>Sprint 5</x:v>
      </x:c>
      <x:c r="P72" s="14" t="str"/>
    </x:row>
    <x:row r="73">
      <x:c r="A73" s="16" t="str">
        <x:v>US-072</x:v>
      </x:c>
      <x:c r="B73" s="14" t="str">
        <x:v>E10</x:v>
      </x:c>
      <x:c r="C73" s="14" t="str">
        <x:v>Temps réel</x:v>
      </x:c>
      <x:c r="D73" s="14" t="str">
        <x:v>Synchronisation WebSocket/SSE</x:v>
      </x:c>
      <x:c r="E73" s="14" t="str">
        <x:v>Propager créations/modifications/suppressions aux autres utilisateurs.</x:v>
      </x:c>
      <x:c r="F73" s="14" t="str">
        <x:v>Must</x:v>
      </x:c>
      <x:c r="G73" s="14" t="str">
        <x:v>V1</x:v>
      </x:c>
      <x:c r="H73" s="16" t="n">
        <x:v>13</x:v>
      </x:c>
      <x:c r="I73" s="14" t="str"/>
      <x:c r="J73" s="14" t="str">
        <x:v>Fullstack</x:v>
      </x:c>
      <x:c r="K73" s="14" t="str">
        <x:v>À faire</x:v>
      </x:c>
      <x:c r="L73" s="14" t="str">
        <x:v>Élevé</x:v>
      </x:c>
      <x:c r="M73" s="14" t="str">
        <x:v>Modification visible sans refresh en quelques secondes.</x:v>
      </x:c>
      <x:c r="N73" s="14" t="str">
        <x:v>E2E</x:v>
      </x:c>
      <x:c r="O73" s="14" t="str">
        <x:v>Sprint 5</x:v>
      </x:c>
      <x:c r="P73" s="14" t="str"/>
    </x:row>
    <x:row r="74">
      <x:c r="A74" s="16" t="str">
        <x:v>US-073</x:v>
      </x:c>
      <x:c r="B74" s="14" t="str">
        <x:v>E10</x:v>
      </x:c>
      <x:c r="C74" s="14" t="str">
        <x:v>Présence</x:v>
      </x:c>
      <x:c r="D74" s="14" t="str">
        <x:v>Afficher qui modifie</x:v>
      </x:c>
      <x:c r="E74" s="14" t="str">
        <x:v>Afficher « X modifie cette réservation ».</x:v>
      </x:c>
      <x:c r="F74" s="14" t="str">
        <x:v>Must</x:v>
      </x:c>
      <x:c r="G74" s="14" t="str">
        <x:v>V1</x:v>
      </x:c>
      <x:c r="H74" s="16" t="n">
        <x:v>5</x:v>
      </x:c>
      <x:c r="I74" s="14" t="str"/>
      <x:c r="J74" s="14" t="str">
        <x:v>Fullstack</x:v>
      </x:c>
      <x:c r="K74" s="14" t="str">
        <x:v>À faire</x:v>
      </x:c>
      <x:c r="L74" s="14" t="str">
        <x:v>Moyen</x:v>
      </x:c>
      <x:c r="M74" s="14" t="str">
        <x:v>Présence libérée après fin/timeout.</x:v>
      </x:c>
      <x:c r="N74" s="14" t="str">
        <x:v>E2E</x:v>
      </x:c>
      <x:c r="O74" s="14" t="str">
        <x:v>Sprint 5</x:v>
      </x:c>
      <x:c r="P74" s="14" t="str"/>
    </x:row>
    <x:row r="75">
      <x:c r="A75" s="16" t="str">
        <x:v>US-074</x:v>
      </x:c>
      <x:c r="B75" s="14" t="str">
        <x:v>E10</x:v>
      </x:c>
      <x:c r="C75" s="14" t="str">
        <x:v>Concurrence</x:v>
      </x:c>
      <x:c r="D75" s="14" t="str">
        <x:v>Versioning optimiste</x:v>
      </x:c>
      <x:c r="E75" s="14" t="str">
        <x:v>version sur réservation; rejet si version obsolète.</x:v>
      </x:c>
      <x:c r="F75" s="14" t="str">
        <x:v>Must</x:v>
      </x:c>
      <x:c r="G75" s="14" t="str">
        <x:v>V1</x:v>
      </x:c>
      <x:c r="H75" s="16" t="n">
        <x:v>8</x:v>
      </x:c>
      <x:c r="I75" s="14" t="str"/>
      <x:c r="J75" s="14" t="str">
        <x:v>Fullstack</x:v>
      </x:c>
      <x:c r="K75" s="14" t="str">
        <x:v>À faire</x:v>
      </x:c>
      <x:c r="L75" s="14" t="str">
        <x:v>Moyen</x:v>
      </x:c>
      <x:c r="M75" s="14" t="str">
        <x:v>Aucune écrasement silencieux.</x:v>
      </x:c>
      <x:c r="N75" s="14" t="str">
        <x:v>E2E</x:v>
      </x:c>
      <x:c r="O75" s="14" t="str">
        <x:v>Sprint 5</x:v>
      </x:c>
      <x:c r="P75" s="14" t="str"/>
    </x:row>
    <x:row r="76">
      <x:c r="A76" s="16" t="str">
        <x:v>US-075</x:v>
      </x:c>
      <x:c r="B76" s="14" t="str">
        <x:v>E10</x:v>
      </x:c>
      <x:c r="C76" s="14" t="str">
        <x:v>Lock</x:v>
      </x:c>
      <x:c r="D76" s="14" t="str">
        <x:v>Verrou temporaire court</x:v>
      </x:c>
      <x:c r="E76" s="14" t="str">
        <x:v>Lock de courte durée pendant interaction sensible.</x:v>
      </x:c>
      <x:c r="F76" s="14" t="str">
        <x:v>Must</x:v>
      </x:c>
      <x:c r="G76" s="14" t="str">
        <x:v>V1</x:v>
      </x:c>
      <x:c r="H76" s="16" t="n">
        <x:v>5</x:v>
      </x:c>
      <x:c r="I76" s="14" t="str"/>
      <x:c r="J76" s="14" t="str">
        <x:v>Fullstack</x:v>
      </x:c>
      <x:c r="K76" s="14" t="str">
        <x:v>À faire</x:v>
      </x:c>
      <x:c r="L76" s="14" t="str">
        <x:v>Moyen</x:v>
      </x:c>
      <x:c r="M76" s="14" t="str">
        <x:v>Timeout automatique; pas de deadlock.</x:v>
      </x:c>
      <x:c r="N76" s="14" t="str">
        <x:v>E2E</x:v>
      </x:c>
      <x:c r="O76" s="14" t="str">
        <x:v>Sprint 5</x:v>
      </x:c>
      <x:c r="P76" s="14" t="str"/>
    </x:row>
    <x:row r="77">
      <x:c r="A77" s="16" t="str">
        <x:v>US-076</x:v>
      </x:c>
      <x:c r="B77" s="14" t="str">
        <x:v>E10</x:v>
      </x:c>
      <x:c r="C77" s="14" t="str">
        <x:v>3 planificateurs</x:v>
      </x:c>
      <x:c r="D77" s="14" t="str">
        <x:v>Valider charge simultanée</x:v>
      </x:c>
      <x:c r="E77" s="14" t="str">
        <x:v>Tester au moins 3 planificateurs simultanés.</x:v>
      </x:c>
      <x:c r="F77" s="14" t="str">
        <x:v>Must</x:v>
      </x:c>
      <x:c r="G77" s="14" t="str">
        <x:v>V1</x:v>
      </x:c>
      <x:c r="H77" s="16" t="n">
        <x:v>5</x:v>
      </x:c>
      <x:c r="I77" s="14" t="str"/>
      <x:c r="J77" s="14" t="str">
        <x:v>Fullstack</x:v>
      </x:c>
      <x:c r="K77" s="14" t="str">
        <x:v>À faire</x:v>
      </x:c>
      <x:c r="L77" s="14" t="str">
        <x:v>Moyen</x:v>
      </x:c>
      <x:c r="M77" s="14" t="str">
        <x:v>Aucune perte de données sous scénario concurrent.</x:v>
      </x:c>
      <x:c r="N77" s="14" t="str">
        <x:v>Load</x:v>
      </x:c>
      <x:c r="O77" s="14" t="str">
        <x:v>Sprint 5</x:v>
      </x:c>
      <x:c r="P77" s="14" t="str"/>
    </x:row>
    <x:row r="78">
      <x:c r="A78" s="16" t="str">
        <x:v>US-077</x:v>
      </x:c>
      <x:c r="B78" s="14" t="str">
        <x:v>E11</x:v>
      </x:c>
      <x:c r="C78" s="14" t="str">
        <x:v>Réalisé</x:v>
      </x:c>
      <x:c r="D78" s="14" t="str">
        <x:v>Statut À confirmer après exécution</x:v>
      </x:c>
      <x:c r="E78" s="14" t="str">
        <x:v>Après date, réservation bascule à confirmer selon règles.</x:v>
      </x:c>
      <x:c r="F78" s="14" t="str">
        <x:v>Must</x:v>
      </x:c>
      <x:c r="G78" s="14" t="str">
        <x:v>V1</x:v>
      </x:c>
      <x:c r="H78" s="16" t="n">
        <x:v>5</x:v>
      </x:c>
      <x:c r="I78" s="14" t="str"/>
      <x:c r="J78" s="14" t="str">
        <x:v>Backend</x:v>
      </x:c>
      <x:c r="K78" s="14" t="str">
        <x:v>À faire</x:v>
      </x:c>
      <x:c r="L78" s="14" t="str">
        <x:v>Moyen</x:v>
      </x:c>
      <x:c r="M78" s="14" t="str">
        <x:v>Liste des réservations à confirmer disponible.</x:v>
      </x:c>
      <x:c r="N78" s="14" t="str">
        <x:v>E2E</x:v>
      </x:c>
      <x:c r="O78" s="14" t="str">
        <x:v>Sprint 7</x:v>
      </x:c>
      <x:c r="P78" s="14" t="str"/>
    </x:row>
    <x:row r="79">
      <x:c r="A79" s="16" t="str">
        <x:v>US-078</x:v>
      </x:c>
      <x:c r="B79" s="14" t="str">
        <x:v>E11</x:v>
      </x:c>
      <x:c r="C79" s="14" t="str">
        <x:v>Réalisé</x:v>
      </x:c>
      <x:c r="D79" s="14" t="str">
        <x:v>Valider réalisé par planificateur</x:v>
      </x:c>
      <x:c r="E79" s="14" t="str">
        <x:v>Le planificateur confirme ou corrige la quantité réellement consommée.</x:v>
      </x:c>
      <x:c r="F79" s="14" t="str">
        <x:v>Must</x:v>
      </x:c>
      <x:c r="G79" s="14" t="str">
        <x:v>V1</x:v>
      </x:c>
      <x:c r="H79" s="16" t="n">
        <x:v>8</x:v>
      </x:c>
      <x:c r="I79" s="14" t="str"/>
      <x:c r="J79" s="14" t="str">
        <x:v>Backend</x:v>
      </x:c>
      <x:c r="K79" s="14" t="str">
        <x:v>À faire</x:v>
      </x:c>
      <x:c r="L79" s="14" t="str">
        <x:v>Moyen</x:v>
      </x:c>
      <x:c r="M79" s="14" t="str">
        <x:v>Réalisé historisé séparément du planifié.</x:v>
      </x:c>
      <x:c r="N79" s="14" t="str">
        <x:v>E2E</x:v>
      </x:c>
      <x:c r="O79" s="14" t="str">
        <x:v>Sprint 7</x:v>
      </x:c>
      <x:c r="P79" s="14" t="str"/>
    </x:row>
    <x:row r="80">
      <x:c r="A80" s="16" t="str">
        <x:v>US-079</x:v>
      </x:c>
      <x:c r="B80" s="14" t="str">
        <x:v>E11</x:v>
      </x:c>
      <x:c r="C80" s="14" t="str">
        <x:v>Écarts</x:v>
      </x:c>
      <x:c r="D80" s="14" t="str">
        <x:v>Calculer planifié vs réalisé</x:v>
      </x:c>
      <x:c r="E80" s="14" t="str">
        <x:v>Mesurer écart par réservation, prestation, projet.</x:v>
      </x:c>
      <x:c r="F80" s="14" t="str">
        <x:v>Must</x:v>
      </x:c>
      <x:c r="G80" s="14" t="str">
        <x:v>V1</x:v>
      </x:c>
      <x:c r="H80" s="16" t="n">
        <x:v>8</x:v>
      </x:c>
      <x:c r="I80" s="14" t="str"/>
      <x:c r="J80" s="14" t="str">
        <x:v>Backend</x:v>
      </x:c>
      <x:c r="K80" s="14" t="str">
        <x:v>À faire</x:v>
      </x:c>
      <x:c r="L80" s="14" t="str">
        <x:v>Moyen</x:v>
      </x:c>
      <x:c r="M80" s="14" t="str">
        <x:v>Données disponibles pour Finance et PLANYBOT.</x:v>
      </x:c>
      <x:c r="N80" s="14" t="str">
        <x:v>E2E</x:v>
      </x:c>
      <x:c r="O80" s="14" t="str">
        <x:v>Sprint 7</x:v>
      </x:c>
      <x:c r="P80" s="14" t="str"/>
    </x:row>
    <x:row r="81">
      <x:c r="A81" s="16" t="str">
        <x:v>US-080</x:v>
      </x:c>
      <x:c r="B81" s="14" t="str">
        <x:v>E11</x:v>
      </x:c>
      <x:c r="C81" s="14" t="str">
        <x:v>Facturable</x:v>
      </x:c>
      <x:c r="D81" s="14" t="str">
        <x:v>Déterminer réalisé facturable</x:v>
      </x:c>
      <x:c r="E81" s="14" t="str">
        <x:v>Identifier consommation réelle non couverte par base commerciale.</x:v>
      </x:c>
      <x:c r="F81" s="14" t="str">
        <x:v>Must</x:v>
      </x:c>
      <x:c r="G81" s="14" t="str">
        <x:v>V1</x:v>
      </x:c>
      <x:c r="H81" s="16" t="n">
        <x:v>8</x:v>
      </x:c>
      <x:c r="I81" s="14" t="str"/>
      <x:c r="J81" s="14" t="str">
        <x:v>Backend</x:v>
      </x:c>
      <x:c r="K81" s="14" t="str">
        <x:v>À faire</x:v>
      </x:c>
      <x:c r="L81" s="14" t="str">
        <x:v>Moyen</x:v>
      </x:c>
      <x:c r="M81" s="14" t="str">
        <x:v>Écart non facturé remonté au dashboard Finance.</x:v>
      </x:c>
      <x:c r="N81" s="14" t="str">
        <x:v>E2E</x:v>
      </x:c>
      <x:c r="O81" s="14" t="str">
        <x:v>Sprint 7</x:v>
      </x:c>
      <x:c r="P81" s="14" t="str"/>
    </x:row>
    <x:row r="82">
      <x:c r="A82" s="16" t="str">
        <x:v>US-081</x:v>
      </x:c>
      <x:c r="B82" s="14" t="str">
        <x:v>E12</x:v>
      </x:c>
      <x:c r="C82" s="14" t="str">
        <x:v>Modèle analytique</x:v>
      </x:c>
      <x:c r="D82" s="14" t="str">
        <x:v>Créer modèle analytique métier</x:v>
      </x:c>
      <x:c r="E82" s="14" t="str">
        <x:v>Dimensions: date, client, projet, prestation, ressource, site, entité, commercial, utilisateur.</x:v>
      </x:c>
      <x:c r="F82" s="14" t="str">
        <x:v>Must</x:v>
      </x:c>
      <x:c r="G82" s="14" t="str">
        <x:v>V1</x:v>
      </x:c>
      <x:c r="H82" s="16" t="n">
        <x:v>13</x:v>
      </x:c>
      <x:c r="I82" s="14" t="str"/>
      <x:c r="J82" s="14" t="str">
        <x:v>Data/IA</x:v>
      </x:c>
      <x:c r="K82" s="14" t="str">
        <x:v>À faire</x:v>
      </x:c>
      <x:c r="L82" s="14" t="str">
        <x:v>Élevé</x:v>
      </x:c>
      <x:c r="M82" s="14" t="str">
        <x:v>Toutes métriques clés filtrables sur ces dimensions.</x:v>
      </x:c>
      <x:c r="N82" s="14" t="str">
        <x:v>E2E</x:v>
      </x:c>
      <x:c r="O82" s="14" t="str">
        <x:v>Sprint 1</x:v>
      </x:c>
      <x:c r="P82" s="14" t="str"/>
    </x:row>
    <x:row r="83">
      <x:c r="A83" s="16" t="str">
        <x:v>US-082</x:v>
      </x:c>
      <x:c r="B83" s="14" t="str">
        <x:v>E12</x:v>
      </x:c>
      <x:c r="C83" s="14" t="str">
        <x:v>CA</x:v>
      </x:c>
      <x:c r="D83" s="14" t="str">
        <x:v>Chaîne de CA</x:v>
      </x:c>
      <x:c r="E83" s="14" t="str">
        <x:v>Budgeté, devisé, signé, planifié, réalisé, facturable, facturé, encaissé (si dispo).</x:v>
      </x:c>
      <x:c r="F83" s="14" t="str">
        <x:v>Must</x:v>
      </x:c>
      <x:c r="G83" s="14" t="str">
        <x:v>V1</x:v>
      </x:c>
      <x:c r="H83" s="16" t="n">
        <x:v>13</x:v>
      </x:c>
      <x:c r="I83" s="14" t="str"/>
      <x:c r="J83" s="14" t="str">
        <x:v>Data/IA</x:v>
      </x:c>
      <x:c r="K83" s="14" t="str">
        <x:v>À faire</x:v>
      </x:c>
      <x:c r="L83" s="14" t="str">
        <x:v>Moyen</x:v>
      </x:c>
      <x:c r="M83" s="14" t="str">
        <x:v>Définitions formelles et calculs auditables.</x:v>
      </x:c>
      <x:c r="N83" s="14" t="str">
        <x:v>E2E</x:v>
      </x:c>
      <x:c r="O83" s="14" t="str">
        <x:v>Sprint 1</x:v>
      </x:c>
      <x:c r="P83" s="14" t="str"/>
    </x:row>
    <x:row r="84">
      <x:c r="A84" s="16" t="str">
        <x:v>US-083</x:v>
      </x:c>
      <x:c r="B84" s="14" t="str">
        <x:v>E12</x:v>
      </x:c>
      <x:c r="C84" s="14" t="str">
        <x:v>Backlog</x:v>
      </x:c>
      <x:c r="D84" s="14" t="str">
        <x:v>CA signé restant à produire</x:v>
      </x:c>
      <x:c r="E84" s="14" t="str">
        <x:v>Calculer backlog signé et sa répartition temporelle.</x:v>
      </x:c>
      <x:c r="F84" s="14" t="str">
        <x:v>Must</x:v>
      </x:c>
      <x:c r="G84" s="14" t="str">
        <x:v>V1</x:v>
      </x:c>
      <x:c r="H84" s="16" t="n">
        <x:v>8</x:v>
      </x:c>
      <x:c r="I84" s="14" t="str"/>
      <x:c r="J84" s="14" t="str">
        <x:v>Data/IA</x:v>
      </x:c>
      <x:c r="K84" s="14" t="str">
        <x:v>À faire</x:v>
      </x:c>
      <x:c r="L84" s="14" t="str">
        <x:v>Moyen</x:v>
      </x:c>
      <x:c r="M84" s="14" t="str">
        <x:v>Drill-down jusqu’aux projets.</x:v>
      </x:c>
      <x:c r="N84" s="14" t="str">
        <x:v>E2E</x:v>
      </x:c>
      <x:c r="O84" s="14" t="str">
        <x:v>Sprint 7</x:v>
      </x:c>
      <x:c r="P84" s="14" t="str"/>
    </x:row>
    <x:row r="85">
      <x:c r="A85" s="16" t="str">
        <x:v>US-084</x:v>
      </x:c>
      <x:c r="B85" s="14" t="str">
        <x:v>E12</x:v>
      </x:c>
      <x:c r="C85" s="14" t="str">
        <x:v>Forecast</x:v>
      </x:c>
      <x:c r="D85" s="14" t="str">
        <x:v>Forecast 30/60/90 jours</x:v>
      </x:c>
      <x:c r="E85" s="14" t="str">
        <x:v>Projeter CA depuis planning et base signée.</x:v>
      </x:c>
      <x:c r="F85" s="14" t="str">
        <x:v>Must</x:v>
      </x:c>
      <x:c r="G85" s="14" t="str">
        <x:v>V1</x:v>
      </x:c>
      <x:c r="H85" s="16" t="n">
        <x:v>8</x:v>
      </x:c>
      <x:c r="I85" s="14" t="str"/>
      <x:c r="J85" s="14" t="str">
        <x:v>Data/IA</x:v>
      </x:c>
      <x:c r="K85" s="14" t="str">
        <x:v>À faire</x:v>
      </x:c>
      <x:c r="L85" s="14" t="str">
        <x:v>Moyen</x:v>
      </x:c>
      <x:c r="M85" s="14" t="str">
        <x:v>Filtres par client/site/commercial/prestation.</x:v>
      </x:c>
      <x:c r="N85" s="14" t="str">
        <x:v>E2E</x:v>
      </x:c>
      <x:c r="O85" s="14" t="str">
        <x:v>Sprint 7</x:v>
      </x:c>
      <x:c r="P85" s="14" t="str"/>
    </x:row>
    <x:row r="86">
      <x:c r="A86" s="16" t="str">
        <x:v>US-085</x:v>
      </x:c>
      <x:c r="B86" s="14" t="str">
        <x:v>E12</x:v>
      </x:c>
      <x:c r="C86" s="14" t="str">
        <x:v>Coûts</x:v>
      </x:c>
      <x:c r="D86" s="14" t="str">
        <x:v>Coût interne des salles</x:v>
      </x:c>
      <x:c r="E86" s="14" t="str">
        <x:v>Paramétrer coût par jour/heure et période de validité.</x:v>
      </x:c>
      <x:c r="F86" s="14" t="str">
        <x:v>Must</x:v>
      </x:c>
      <x:c r="G86" s="14" t="str">
        <x:v>V1</x:v>
      </x:c>
      <x:c r="H86" s="16" t="n">
        <x:v>8</x:v>
      </x:c>
      <x:c r="I86" s="14" t="str"/>
      <x:c r="J86" s="14" t="str">
        <x:v>Data/IA</x:v>
      </x:c>
      <x:c r="K86" s="14" t="str">
        <x:v>À faire</x:v>
      </x:c>
      <x:c r="L86" s="14" t="str">
        <x:v>Moyen</x:v>
      </x:c>
      <x:c r="M86" s="14" t="str">
        <x:v>Anciennes analyses conservent coût historique.</x:v>
      </x:c>
      <x:c r="N86" s="14" t="str">
        <x:v>E2E</x:v>
      </x:c>
      <x:c r="O86" s="14" t="str">
        <x:v>Sprint 7</x:v>
      </x:c>
      <x:c r="P86" s="14" t="str"/>
    </x:row>
    <x:row r="87">
      <x:c r="A87" s="16" t="str">
        <x:v>US-086</x:v>
      </x:c>
      <x:c r="B87" s="14" t="str">
        <x:v>E12</x:v>
      </x:c>
      <x:c r="C87" s="14" t="str">
        <x:v>Coûts</x:v>
      </x:c>
      <x:c r="D87" s="14" t="str">
        <x:v>Coût humain</x:v>
      </x:c>
      <x:c r="E87" s="14" t="str">
        <x:v>Coût interne par personne/catégorie.</x:v>
      </x:c>
      <x:c r="F87" s="14" t="str">
        <x:v>Must</x:v>
      </x:c>
      <x:c r="G87" s="14" t="str">
        <x:v>V1</x:v>
      </x:c>
      <x:c r="H87" s="16" t="n">
        <x:v>8</x:v>
      </x:c>
      <x:c r="I87" s="14" t="str"/>
      <x:c r="J87" s="14" t="str">
        <x:v>Data/IA</x:v>
      </x:c>
      <x:c r="K87" s="14" t="str">
        <x:v>À faire</x:v>
      </x:c>
      <x:c r="L87" s="14" t="str">
        <x:v>Moyen</x:v>
      </x:c>
      <x:c r="M87" s="14" t="str">
        <x:v>Coût planifié et réalisé calculable.</x:v>
      </x:c>
      <x:c r="N87" s="14" t="str">
        <x:v>E2E</x:v>
      </x:c>
      <x:c r="O87" s="14" t="str">
        <x:v>Sprint 7</x:v>
      </x:c>
      <x:c r="P87" s="14" t="str"/>
    </x:row>
    <x:row r="88">
      <x:c r="A88" s="16" t="str">
        <x:v>US-087</x:v>
      </x:c>
      <x:c r="B88" s="14" t="str">
        <x:v>E12</x:v>
      </x:c>
      <x:c r="C88" s="14" t="str">
        <x:v>Coûts</x:v>
      </x:c>
      <x:c r="D88" s="14" t="str">
        <x:v>Coût matériel/cloud/fournisseurs</x:v>
      </x:c>
      <x:c r="E88" s="14" t="str">
        <x:v>Affecter coûts projet: matériel, licences, cloud, stockage, sous-traitance.</x:v>
      </x:c>
      <x:c r="F88" s="14" t="str">
        <x:v>Must</x:v>
      </x:c>
      <x:c r="G88" s="14" t="str">
        <x:v>V1</x:v>
      </x:c>
      <x:c r="H88" s="16" t="n">
        <x:v>8</x:v>
      </x:c>
      <x:c r="I88" s="14" t="str"/>
      <x:c r="J88" s="14" t="str">
        <x:v>Data/IA</x:v>
      </x:c>
      <x:c r="K88" s="14" t="str">
        <x:v>À faire</x:v>
      </x:c>
      <x:c r="L88" s="14" t="str">
        <x:v>Moyen</x:v>
      </x:c>
      <x:c r="M88" s="14" t="str">
        <x:v>Coûts rattachables à projet/prestation/date.</x:v>
      </x:c>
      <x:c r="N88" s="14" t="str">
        <x:v>E2E</x:v>
      </x:c>
      <x:c r="O88" s="14" t="str">
        <x:v>Sprint 7</x:v>
      </x:c>
      <x:c r="P88" s="14" t="str"/>
    </x:row>
    <x:row r="89">
      <x:c r="A89" s="16" t="str">
        <x:v>US-088</x:v>
      </x:c>
      <x:c r="B89" s="14" t="str">
        <x:v>E12</x:v>
      </x:c>
      <x:c r="C89" s="14" t="str">
        <x:v>Marge</x:v>
      </x:c>
      <x:c r="D89" s="14" t="str">
        <x:v>Marge prévue et réelle</x:v>
      </x:c>
      <x:c r="E89" s="14" t="str">
        <x:v>Calculer marge devis, marge planifiée, marge réelle à terminaison.</x:v>
      </x:c>
      <x:c r="F89" s="14" t="str">
        <x:v>Must</x:v>
      </x:c>
      <x:c r="G89" s="14" t="str">
        <x:v>V1</x:v>
      </x:c>
      <x:c r="H89" s="16" t="n">
        <x:v>13</x:v>
      </x:c>
      <x:c r="I89" s="14" t="str"/>
      <x:c r="J89" s="14" t="str">
        <x:v>Data/IA</x:v>
      </x:c>
      <x:c r="K89" s="14" t="str">
        <x:v>À faire</x:v>
      </x:c>
      <x:c r="L89" s="14" t="str">
        <x:v>Moyen</x:v>
      </x:c>
      <x:c r="M89" s="14" t="str">
        <x:v>Formules documentées; seuils d’alerte configurables.</x:v>
      </x:c>
      <x:c r="N89" s="14" t="str">
        <x:v>E2E</x:v>
      </x:c>
      <x:c r="O89" s="14" t="str">
        <x:v>Sprint 7</x:v>
      </x:c>
      <x:c r="P89" s="14" t="str"/>
    </x:row>
    <x:row r="90">
      <x:c r="A90" s="16" t="str">
        <x:v>US-089</x:v>
      </x:c>
      <x:c r="B90" s="14" t="str">
        <x:v>E12</x:v>
      </x:c>
      <x:c r="C90" s="14" t="str">
        <x:v>Occupation</x:v>
      </x:c>
      <x:c r="D90" s="14" t="str">
        <x:v>Taux d’occupation</x:v>
      </x:c>
      <x:c r="E90" s="14" t="str">
        <x:v>Calcul jour/semaine/mois par salle, catégorie, site.</x:v>
      </x:c>
      <x:c r="F90" s="14" t="str">
        <x:v>Must</x:v>
      </x:c>
      <x:c r="G90" s="14" t="str">
        <x:v>V1</x:v>
      </x:c>
      <x:c r="H90" s="16" t="n">
        <x:v>8</x:v>
      </x:c>
      <x:c r="I90" s="14" t="str"/>
      <x:c r="J90" s="14" t="str">
        <x:v>Data/IA</x:v>
      </x:c>
      <x:c r="K90" s="14" t="str">
        <x:v>À faire</x:v>
      </x:c>
      <x:c r="L90" s="14" t="str">
        <x:v>Moyen</x:v>
      </x:c>
      <x:c r="M90" s="14" t="str">
        <x:v>Capacité totale vs occupée vs disponible.</x:v>
      </x:c>
      <x:c r="N90" s="14" t="str">
        <x:v>E2E</x:v>
      </x:c>
      <x:c r="O90" s="14" t="str">
        <x:v>Sprint 7</x:v>
      </x:c>
      <x:c r="P90" s="14" t="str"/>
    </x:row>
    <x:row r="91">
      <x:c r="A91" s="16" t="str">
        <x:v>US-090</x:v>
      </x:c>
      <x:c r="B91" s="14" t="str">
        <x:v>E12</x:v>
      </x:c>
      <x:c r="C91" s="14" t="str">
        <x:v>Capacité</x:v>
      </x:c>
      <x:c r="D91" s="14" t="str">
        <x:v>Sous-utilisation et saturation</x:v>
      </x:c>
      <x:c r="E91" s="14" t="str">
        <x:v>Identifier trous de charge et périodes de saturation.</x:v>
      </x:c>
      <x:c r="F91" s="14" t="str">
        <x:v>Must</x:v>
      </x:c>
      <x:c r="G91" s="14" t="str">
        <x:v>V1</x:v>
      </x:c>
      <x:c r="H91" s="16" t="n">
        <x:v>8</x:v>
      </x:c>
      <x:c r="I91" s="14" t="str"/>
      <x:c r="J91" s="14" t="str">
        <x:v>Data/IA</x:v>
      </x:c>
      <x:c r="K91" s="14" t="str">
        <x:v>À faire</x:v>
      </x:c>
      <x:c r="L91" s="14" t="str">
        <x:v>Moyen</x:v>
      </x:c>
      <x:c r="M91" s="14" t="str">
        <x:v>Alertes avec drill-down vers ressources.</x:v>
      </x:c>
      <x:c r="N91" s="14" t="str">
        <x:v>E2E</x:v>
      </x:c>
      <x:c r="O91" s="14" t="str">
        <x:v>Sprint 7</x:v>
      </x:c>
      <x:c r="P91" s="14" t="str"/>
    </x:row>
    <x:row r="92">
      <x:c r="A92" s="16" t="str">
        <x:v>US-091</x:v>
      </x:c>
      <x:c r="B92" s="14" t="str">
        <x:v>E12</x:v>
      </x:c>
      <x:c r="C92" s="14" t="str">
        <x:v>Rentabilité</x:v>
      </x:c>
      <x:c r="D92" s="14" t="str">
        <x:v>Rentabilité multidimensionnelle</x:v>
      </x:c>
      <x:c r="E92" s="14" t="str">
        <x:v>Par salle, prestation, client, projet, site.</x:v>
      </x:c>
      <x:c r="F92" s="14" t="str">
        <x:v>Must</x:v>
      </x:c>
      <x:c r="G92" s="14" t="str">
        <x:v>V1</x:v>
      </x:c>
      <x:c r="H92" s="16" t="n">
        <x:v>13</x:v>
      </x:c>
      <x:c r="I92" s="14" t="str"/>
      <x:c r="J92" s="14" t="str">
        <x:v>Data/IA</x:v>
      </x:c>
      <x:c r="K92" s="14" t="str">
        <x:v>À faire</x:v>
      </x:c>
      <x:c r="L92" s="14" t="str">
        <x:v>Moyen</x:v>
      </x:c>
      <x:c r="M92" s="14" t="str">
        <x:v>CA, coûts et marge visibles pour toute dimension.</x:v>
      </x:c>
      <x:c r="N92" s="14" t="str">
        <x:v>E2E</x:v>
      </x:c>
      <x:c r="O92" s="14" t="str">
        <x:v>Sprint 7</x:v>
      </x:c>
      <x:c r="P92" s="14" t="str"/>
    </x:row>
    <x:row r="93">
      <x:c r="A93" s="16" t="str">
        <x:v>US-092</x:v>
      </x:c>
      <x:c r="B93" s="14" t="str">
        <x:v>E12</x:v>
      </x:c>
      <x:c r="C93" s="14" t="str">
        <x:v>Dépassements</x:v>
      </x:c>
      <x:c r="D93" s="14" t="str">
        <x:v>Dépassements non facturés</x:v>
      </x:c>
      <x:c r="E93" s="14" t="str">
        <x:v>Mesurer valeur des prestations consommées hors devis/non facturées.</x:v>
      </x:c>
      <x:c r="F93" s="14" t="str">
        <x:v>Must</x:v>
      </x:c>
      <x:c r="G93" s="14" t="str">
        <x:v>V1</x:v>
      </x:c>
      <x:c r="H93" s="16" t="n">
        <x:v>8</x:v>
      </x:c>
      <x:c r="I93" s="14" t="str"/>
      <x:c r="J93" s="14" t="str">
        <x:v>Data/IA</x:v>
      </x:c>
      <x:c r="K93" s="14" t="str">
        <x:v>À faire</x:v>
      </x:c>
      <x:c r="L93" s="14" t="str">
        <x:v>Moyen</x:v>
      </x:c>
      <x:c r="M93" s="14" t="str">
        <x:v>Liste actionnable par Finance.</x:v>
      </x:c>
      <x:c r="N93" s="14" t="str">
        <x:v>E2E</x:v>
      </x:c>
      <x:c r="O93" s="14" t="str">
        <x:v>Sprint 7</x:v>
      </x:c>
      <x:c r="P93" s="14" t="str"/>
    </x:row>
    <x:row r="94">
      <x:c r="A94" s="16" t="str">
        <x:v>US-093</x:v>
      </x:c>
      <x:c r="B94" s="14" t="str">
        <x:v>E12</x:v>
      </x:c>
      <x:c r="C94" s="14" t="str">
        <x:v>Remises</x:v>
      </x:c>
      <x:c r="D94" s="14" t="str">
        <x:v>Analyse tarifs/remises</x:v>
      </x:c>
      <x:c r="E94" s="14" t="str">
        <x:v>Comparer tarif client au catalogue, remise et marge moyenne.</x:v>
      </x:c>
      <x:c r="F94" s="14" t="str">
        <x:v>Must</x:v>
      </x:c>
      <x:c r="G94" s="14" t="str">
        <x:v>V1</x:v>
      </x:c>
      <x:c r="H94" s="16" t="n">
        <x:v>8</x:v>
      </x:c>
      <x:c r="I94" s="14" t="str"/>
      <x:c r="J94" s="14" t="str">
        <x:v>Data/IA</x:v>
      </x:c>
      <x:c r="K94" s="14" t="str">
        <x:v>À faire</x:v>
      </x:c>
      <x:c r="L94" s="14" t="str">
        <x:v>Moyen</x:v>
      </x:c>
      <x:c r="M94" s="14" t="str">
        <x:v>Identifier clients fort CA / faible marge.</x:v>
      </x:c>
      <x:c r="N94" s="14" t="str">
        <x:v>E2E</x:v>
      </x:c>
      <x:c r="O94" s="14" t="str">
        <x:v>Sprint 7</x:v>
      </x:c>
      <x:c r="P94" s="14" t="str"/>
    </x:row>
    <x:row r="95">
      <x:c r="A95" s="16" t="str">
        <x:v>US-094</x:v>
      </x:c>
      <x:c r="B95" s="14" t="str">
        <x:v>E12</x:v>
      </x:c>
      <x:c r="C95" s="14" t="str">
        <x:v>Dashboard</x:v>
      </x:c>
      <x:c r="D95" s="14" t="str">
        <x:v>Dashboard Direction</x:v>
      </x:c>
      <x:c r="E95" s="14" t="str">
        <x:v>KPI synthèse CA, marge, backlog, forecast, occupation, alertes.</x:v>
      </x:c>
      <x:c r="F95" s="14" t="str">
        <x:v>Must</x:v>
      </x:c>
      <x:c r="G95" s="14" t="str">
        <x:v>V1</x:v>
      </x:c>
      <x:c r="H95" s="16" t="n">
        <x:v>8</x:v>
      </x:c>
      <x:c r="I95" s="14" t="str"/>
      <x:c r="J95" s="14" t="str">
        <x:v>Fullstack</x:v>
      </x:c>
      <x:c r="K95" s="14" t="str">
        <x:v>À faire</x:v>
      </x:c>
      <x:c r="L95" s="14" t="str">
        <x:v>Moyen</x:v>
      </x:c>
      <x:c r="M95" s="14" t="str">
        <x:v>Filtres période/entité/site; drill-down.</x:v>
      </x:c>
      <x:c r="N95" s="14" t="str">
        <x:v>E2E</x:v>
      </x:c>
      <x:c r="O95" s="14" t="str">
        <x:v>Sprint 8</x:v>
      </x:c>
      <x:c r="P95" s="14" t="str"/>
    </x:row>
    <x:row r="96">
      <x:c r="A96" s="16" t="str">
        <x:v>US-095</x:v>
      </x:c>
      <x:c r="B96" s="14" t="str">
        <x:v>E12</x:v>
      </x:c>
      <x:c r="C96" s="14" t="str">
        <x:v>Dashboard</x:v>
      </x:c>
      <x:c r="D96" s="14" t="str">
        <x:v>Dashboard Finance</x:v>
      </x:c>
      <x:c r="E96" s="14" t="str">
        <x:v>CA, facturable, facturé, marge, écarts, compléments, coûts, export.</x:v>
      </x:c>
      <x:c r="F96" s="14" t="str">
        <x:v>Must</x:v>
      </x:c>
      <x:c r="G96" s="14" t="str">
        <x:v>V1</x:v>
      </x:c>
      <x:c r="H96" s="16" t="n">
        <x:v>13</x:v>
      </x:c>
      <x:c r="I96" s="14" t="str"/>
      <x:c r="J96" s="14" t="str">
        <x:v>Fullstack</x:v>
      </x:c>
      <x:c r="K96" s="14" t="str">
        <x:v>À faire</x:v>
      </x:c>
      <x:c r="L96" s="14" t="str">
        <x:v>Moyen</x:v>
      </x:c>
      <x:c r="M96" s="14" t="str">
        <x:v>Toutes données exportables; drill-down projet.</x:v>
      </x:c>
      <x:c r="N96" s="14" t="str">
        <x:v>E2E</x:v>
      </x:c>
      <x:c r="O96" s="14" t="str">
        <x:v>Sprint 8</x:v>
      </x:c>
      <x:c r="P96" s="14" t="str"/>
    </x:row>
    <x:row r="97">
      <x:c r="A97" s="16" t="str">
        <x:v>US-096</x:v>
      </x:c>
      <x:c r="B97" s="14" t="str">
        <x:v>E12</x:v>
      </x:c>
      <x:c r="C97" s="14" t="str">
        <x:v>Dashboard</x:v>
      </x:c>
      <x:c r="D97" s="14" t="str">
        <x:v>Dashboard Planning</x:v>
      </x:c>
      <x:c r="E97" s="14" t="str">
        <x:v>Occupation, saturation, reste à planifier, options, conflits.</x:v>
      </x:c>
      <x:c r="F97" s="14" t="str">
        <x:v>Must</x:v>
      </x:c>
      <x:c r="G97" s="14" t="str">
        <x:v>V1</x:v>
      </x:c>
      <x:c r="H97" s="16" t="n">
        <x:v>8</x:v>
      </x:c>
      <x:c r="I97" s="14" t="str"/>
      <x:c r="J97" s="14" t="str">
        <x:v>Fullstack</x:v>
      </x:c>
      <x:c r="K97" s="14" t="str">
        <x:v>À faire</x:v>
      </x:c>
      <x:c r="L97" s="14" t="str">
        <x:v>Moyen</x:v>
      </x:c>
      <x:c r="M97" s="14" t="str">
        <x:v>Vue opérationnelle filtrable.</x:v>
      </x:c>
      <x:c r="N97" s="14" t="str">
        <x:v>E2E</x:v>
      </x:c>
      <x:c r="O97" s="14" t="str">
        <x:v>Sprint 8</x:v>
      </x:c>
      <x:c r="P97" s="14" t="str"/>
    </x:row>
    <x:row r="98">
      <x:c r="A98" s="16" t="str">
        <x:v>US-097</x:v>
      </x:c>
      <x:c r="B98" s="14" t="str">
        <x:v>E12</x:v>
      </x:c>
      <x:c r="C98" s="14" t="str">
        <x:v>Dashboard</x:v>
      </x:c>
      <x:c r="D98" s="14" t="str">
        <x:v>Dashboard Commercial</x:v>
      </x:c>
      <x:c r="E98" s="14" t="str">
        <x:v>Pipeline budget/devis, taux conversion, CA signé, remises, marge.</x:v>
      </x:c>
      <x:c r="F98" s="14" t="str">
        <x:v>Must</x:v>
      </x:c>
      <x:c r="G98" s="14" t="str">
        <x:v>V1</x:v>
      </x:c>
      <x:c r="H98" s="16" t="n">
        <x:v>8</x:v>
      </x:c>
      <x:c r="I98" s="14" t="str"/>
      <x:c r="J98" s="14" t="str">
        <x:v>Fullstack</x:v>
      </x:c>
      <x:c r="K98" s="14" t="str">
        <x:v>À faire</x:v>
      </x:c>
      <x:c r="L98" s="14" t="str">
        <x:v>Moyen</x:v>
      </x:c>
      <x:c r="M98" s="14" t="str">
        <x:v>Filtre commercial/client.</x:v>
      </x:c>
      <x:c r="N98" s="14" t="str">
        <x:v>E2E</x:v>
      </x:c>
      <x:c r="O98" s="14" t="str">
        <x:v>Sprint 8</x:v>
      </x:c>
      <x:c r="P98" s="14" t="str"/>
    </x:row>
    <x:row r="99">
      <x:c r="A99" s="16" t="str">
        <x:v>US-098</x:v>
      </x:c>
      <x:c r="B99" s="14" t="str">
        <x:v>E12</x:v>
      </x:c>
      <x:c r="C99" s="14" t="str">
        <x:v>Dashboard</x:v>
      </x:c>
      <x:c r="D99" s="14" t="str">
        <x:v>Dashboard Exploitation</x:v>
      </x:c>
      <x:c r="E99" s="14" t="str">
        <x:v>Charge ressources, maintenance, consommation réelle.</x:v>
      </x:c>
      <x:c r="F99" s="14" t="str">
        <x:v>Must</x:v>
      </x:c>
      <x:c r="G99" s="14" t="str">
        <x:v>V1</x:v>
      </x:c>
      <x:c r="H99" s="16" t="n">
        <x:v>8</x:v>
      </x:c>
      <x:c r="I99" s="14" t="str"/>
      <x:c r="J99" s="14" t="str">
        <x:v>Fullstack</x:v>
      </x:c>
      <x:c r="K99" s="14" t="str">
        <x:v>À faire</x:v>
      </x:c>
      <x:c r="L99" s="14" t="str">
        <x:v>Moyen</x:v>
      </x:c>
      <x:c r="M99" s="14" t="str">
        <x:v>Vue site/catégorie.</x:v>
      </x:c>
      <x:c r="N99" s="14" t="str">
        <x:v>E2E</x:v>
      </x:c>
      <x:c r="O99" s="14" t="str">
        <x:v>Sprint 8</x:v>
      </x:c>
      <x:c r="P99" s="14" t="str"/>
    </x:row>
    <x:row r="100">
      <x:c r="A100" s="16" t="str">
        <x:v>US-099</x:v>
      </x:c>
      <x:c r="B100" s="14" t="str">
        <x:v>E12</x:v>
      </x:c>
      <x:c r="C100" s="14" t="str">
        <x:v>Dashboard</x:v>
      </x:c>
      <x:c r="D100" s="14" t="str">
        <x:v>Dashboard Chef de projet</x:v>
      </x:c>
      <x:c r="E100" s="14" t="str">
        <x:v>Budget/devis, planning, réalisé, écarts, marge projet.</x:v>
      </x:c>
      <x:c r="F100" s="14" t="str">
        <x:v>Must</x:v>
      </x:c>
      <x:c r="G100" s="14" t="str">
        <x:v>V1</x:v>
      </x:c>
      <x:c r="H100" s="16" t="n">
        <x:v>8</x:v>
      </x:c>
      <x:c r="I100" s="14" t="str"/>
      <x:c r="J100" s="14" t="str">
        <x:v>Fullstack</x:v>
      </x:c>
      <x:c r="K100" s="14" t="str">
        <x:v>À faire</x:v>
      </x:c>
      <x:c r="L100" s="14" t="str">
        <x:v>Moyen</x:v>
      </x:c>
      <x:c r="M100" s="14" t="str">
        <x:v>Périmètre limité aux projets autorisés.</x:v>
      </x:c>
      <x:c r="N100" s="14" t="str">
        <x:v>E2E</x:v>
      </x:c>
      <x:c r="O100" s="14" t="str">
        <x:v>Sprint 8</x:v>
      </x:c>
      <x:c r="P100" s="14" t="str"/>
    </x:row>
    <x:row r="101">
      <x:c r="A101" s="16" t="str">
        <x:v>US-100</x:v>
      </x:c>
      <x:c r="B101" s="14" t="str">
        <x:v>E12</x:v>
      </x:c>
      <x:c r="C101" s="14" t="str">
        <x:v>PLANYBOT Analytics</x:v>
      </x:c>
      <x:c r="D101" s="14" t="str">
        <x:v>Questions Finance en langage naturel</x:v>
      </x:c>
      <x:c r="E101" s="14" t="str">
        <x:v>Ex: CA à produire, projets à risque, salles sous-utilisées, dépassements non facturés.</x:v>
      </x:c>
      <x:c r="F101" s="14" t="str">
        <x:v>Should</x:v>
      </x:c>
      <x:c r="G101" s="14" t="str">
        <x:v>V2</x:v>
      </x:c>
      <x:c r="H101" s="16" t="n">
        <x:v>13</x:v>
      </x:c>
      <x:c r="I101" s="14" t="str"/>
      <x:c r="J101" s="14" t="str">
        <x:v>À affecter</x:v>
      </x:c>
      <x:c r="K101" s="14" t="str">
        <x:v>À faire</x:v>
      </x:c>
      <x:c r="L101" s="14" t="str">
        <x:v>Moyen</x:v>
      </x:c>
      <x:c r="M101" s="14" t="str">
        <x:v>Réponses calculées sur modèle analytique; drill-down fourni.</x:v>
      </x:c>
      <x:c r="N101" s="14" t="str">
        <x:v>AI Eval</x:v>
      </x:c>
      <x:c r="O101" s="14" t="str"/>
      <x:c r="P101" s="14" t="str"/>
    </x:row>
    <x:row r="102">
      <x:c r="A102" s="16" t="str">
        <x:v>US-101</x:v>
      </x:c>
      <x:c r="B102" s="14" t="str">
        <x:v>E13</x:v>
      </x:c>
      <x:c r="C102" s="14" t="str">
        <x:v>Excel</x:v>
      </x:c>
      <x:c r="D102" s="14" t="str">
        <x:v>Exporter planning Excel</x:v>
      </x:c>
      <x:c r="E102" s="14" t="str">
        <x:v>Exporter période, ressources, réservations et statuts.</x:v>
      </x:c>
      <x:c r="F102" s="14" t="str">
        <x:v>Must</x:v>
      </x:c>
      <x:c r="G102" s="14" t="str">
        <x:v>V1</x:v>
      </x:c>
      <x:c r="H102" s="16" t="n">
        <x:v>5</x:v>
      </x:c>
      <x:c r="I102" s="14" t="str"/>
      <x:c r="J102" s="14" t="str">
        <x:v>Fullstack</x:v>
      </x:c>
      <x:c r="K102" s="14" t="str">
        <x:v>À faire</x:v>
      </x:c>
      <x:c r="L102" s="14" t="str">
        <x:v>Moyen</x:v>
      </x:c>
      <x:c r="M102" s="14" t="str">
        <x:v>Export fidèle aux filtres actifs.</x:v>
      </x:c>
      <x:c r="N102" s="14" t="str">
        <x:v>E2E</x:v>
      </x:c>
      <x:c r="O102" s="14" t="str">
        <x:v>Sprint 8</x:v>
      </x:c>
      <x:c r="P102" s="14" t="str"/>
    </x:row>
    <x:row r="103">
      <x:c r="A103" s="16" t="str">
        <x:v>US-102</x:v>
      </x:c>
      <x:c r="B103" s="14" t="str">
        <x:v>E13</x:v>
      </x:c>
      <x:c r="C103" s="14" t="str">
        <x:v>PDF</x:v>
      </x:c>
      <x:c r="D103" s="14" t="str">
        <x:v>Exporter planning PDF</x:v>
      </x:c>
      <x:c r="E103" s="14" t="str">
        <x:v>Export visuel période sélectionnée.</x:v>
      </x:c>
      <x:c r="F103" s="14" t="str">
        <x:v>Must</x:v>
      </x:c>
      <x:c r="G103" s="14" t="str">
        <x:v>V1</x:v>
      </x:c>
      <x:c r="H103" s="16" t="n">
        <x:v>5</x:v>
      </x:c>
      <x:c r="I103" s="14" t="str"/>
      <x:c r="J103" s="14" t="str">
        <x:v>Fullstack</x:v>
      </x:c>
      <x:c r="K103" s="14" t="str">
        <x:v>À faire</x:v>
      </x:c>
      <x:c r="L103" s="14" t="str">
        <x:v>Moyen</x:v>
      </x:c>
      <x:c r="M103" s="14" t="str">
        <x:v>Lisible sur A3/A4 paysage selon densité.</x:v>
      </x:c>
      <x:c r="N103" s="14" t="str">
        <x:v>E2E</x:v>
      </x:c>
      <x:c r="O103" s="14" t="str">
        <x:v>Sprint 8</x:v>
      </x:c>
      <x:c r="P103" s="14" t="str"/>
    </x:row>
    <x:row r="104">
      <x:c r="A104" s="16" t="str">
        <x:v>US-103</x:v>
      </x:c>
      <x:c r="B104" s="14" t="str">
        <x:v>E13</x:v>
      </x:c>
      <x:c r="C104" s="14" t="str">
        <x:v>Analytics</x:v>
      </x:c>
      <x:c r="D104" s="14" t="str">
        <x:v>Exporter données KPI Excel</x:v>
      </x:c>
      <x:c r="E104" s="14" t="str">
        <x:v>Chaque dashboard permet export des données sous-jacentes.</x:v>
      </x:c>
      <x:c r="F104" s="14" t="str">
        <x:v>Must</x:v>
      </x:c>
      <x:c r="G104" s="14" t="str">
        <x:v>V1</x:v>
      </x:c>
      <x:c r="H104" s="16" t="n">
        <x:v>5</x:v>
      </x:c>
      <x:c r="I104" s="14" t="str"/>
      <x:c r="J104" s="14" t="str">
        <x:v>Fullstack</x:v>
      </x:c>
      <x:c r="K104" s="14" t="str">
        <x:v>À faire</x:v>
      </x:c>
      <x:c r="L104" s="14" t="str">
        <x:v>Moyen</x:v>
      </x:c>
      <x:c r="M104" s="14" t="str">
        <x:v>Données détaillées cohérentes avec KPI.</x:v>
      </x:c>
      <x:c r="N104" s="14" t="str">
        <x:v>E2E</x:v>
      </x:c>
      <x:c r="O104" s="14" t="str">
        <x:v>Sprint 8</x:v>
      </x:c>
      <x:c r="P104" s="14" t="str"/>
    </x:row>
    <x:row r="105">
      <x:c r="A105" s="16" t="str">
        <x:v>US-104</x:v>
      </x:c>
      <x:c r="B105" s="14" t="str">
        <x:v>E13</x:v>
      </x:c>
      <x:c r="C105" s="14" t="str">
        <x:v>BI</x:v>
      </x:c>
      <x:c r="D105" s="14" t="str">
        <x:v>API Analytics</x:v>
      </x:c>
      <x:c r="E105" s="14" t="str">
        <x:v>Exposer dataset pour Power BI/BI externe.</x:v>
      </x:c>
      <x:c r="F105" s="14" t="str">
        <x:v>Must</x:v>
      </x:c>
      <x:c r="G105" s="14" t="str">
        <x:v>V1</x:v>
      </x:c>
      <x:c r="H105" s="16" t="n">
        <x:v>8</x:v>
      </x:c>
      <x:c r="I105" s="14" t="str"/>
      <x:c r="J105" s="14" t="str">
        <x:v>Fullstack</x:v>
      </x:c>
      <x:c r="K105" s="14" t="str">
        <x:v>À faire</x:v>
      </x:c>
      <x:c r="L105" s="14" t="str">
        <x:v>Moyen</x:v>
      </x:c>
      <x:c r="M105" s="14" t="str">
        <x:v>API documentée, sécurisée, filtrable.</x:v>
      </x:c>
      <x:c r="N105" s="14" t="str">
        <x:v>E2E</x:v>
      </x:c>
      <x:c r="O105" s="14" t="str">
        <x:v>Sprint 8</x:v>
      </x:c>
      <x:c r="P105" s="14" t="str"/>
    </x:row>
    <x:row r="106">
      <x:c r="A106" s="16" t="str">
        <x:v>US-105</x:v>
      </x:c>
      <x:c r="B106" s="14" t="str">
        <x:v>E13</x:v>
      </x:c>
      <x:c r="C106" s="14" t="str">
        <x:v>Rapports</x:v>
      </x:c>
      <x:c r="D106" s="14" t="str">
        <x:v>Rapports personnalisés</x:v>
      </x:c>
      <x:c r="E106" s="14" t="str">
        <x:v>Vues enregistrées et rapports paramétrables.</x:v>
      </x:c>
      <x:c r="F106" s="14" t="str">
        <x:v>Could</x:v>
      </x:c>
      <x:c r="G106" s="14" t="str">
        <x:v>V2</x:v>
      </x:c>
      <x:c r="H106" s="16" t="n">
        <x:v>8</x:v>
      </x:c>
      <x:c r="I106" s="14" t="str"/>
      <x:c r="J106" s="14" t="str">
        <x:v>À affecter</x:v>
      </x:c>
      <x:c r="K106" s="14" t="str">
        <x:v>À faire</x:v>
      </x:c>
      <x:c r="L106" s="14" t="str">
        <x:v>Moyen</x:v>
      </x:c>
      <x:c r="M106" s="14" t="str">
        <x:v>Utilisateur Finance peut sauvegarder filtres et colonnes.</x:v>
      </x:c>
      <x:c r="N106" s="14" t="str">
        <x:v>E2E</x:v>
      </x:c>
      <x:c r="O106" s="14" t="str"/>
      <x:c r="P106" s="14" t="str"/>
    </x:row>
    <x:row r="107">
      <x:c r="A107" s="16" t="str">
        <x:v>US-106</x:v>
      </x:c>
      <x:c r="B107" s="14" t="str">
        <x:v>E14</x:v>
      </x:c>
      <x:c r="C107" s="14" t="str">
        <x:v>RBAC</x:v>
      </x:c>
      <x:c r="D107" s="14" t="str">
        <x:v>Rôles standard</x:v>
      </x:c>
      <x:c r="E107" s="14" t="str">
        <x:v>Admin, responsable planning, planificateur, commercial, chef de projet, lecture seule, Finance.</x:v>
      </x:c>
      <x:c r="F107" s="14" t="str">
        <x:v>Must</x:v>
      </x:c>
      <x:c r="G107" s="14" t="str">
        <x:v>V1</x:v>
      </x:c>
      <x:c r="H107" s="16" t="n">
        <x:v>8</x:v>
      </x:c>
      <x:c r="I107" s="14" t="str"/>
      <x:c r="J107" s="14" t="str">
        <x:v>Backend</x:v>
      </x:c>
      <x:c r="K107" s="14" t="str">
        <x:v>À faire</x:v>
      </x:c>
      <x:c r="L107" s="14" t="str">
        <x:v>Moyen</x:v>
      </x:c>
      <x:c r="M107" s="14" t="str">
        <x:v>Permissions testées côté API et UI.</x:v>
      </x:c>
      <x:c r="N107" s="14" t="str">
        <x:v>E2E</x:v>
      </x:c>
      <x:c r="O107" s="14" t="str">
        <x:v>Sprint 0</x:v>
      </x:c>
      <x:c r="P107" s="14" t="str"/>
    </x:row>
    <x:row r="108">
      <x:c r="A108" s="16" t="str">
        <x:v>US-107</x:v>
      </x:c>
      <x:c r="B108" s="14" t="str">
        <x:v>E14</x:v>
      </x:c>
      <x:c r="C108" s="14" t="str">
        <x:v>Finance</x:v>
      </x:c>
      <x:c r="D108" s="14" t="str">
        <x:v>Visibilité coûts/marges</x:v>
      </x:c>
      <x:c r="E108" s="14" t="str">
        <x:v>Finance voit tout; autres rôles selon matrice.</x:v>
      </x:c>
      <x:c r="F108" s="14" t="str">
        <x:v>Must</x:v>
      </x:c>
      <x:c r="G108" s="14" t="str">
        <x:v>V1</x:v>
      </x:c>
      <x:c r="H108" s="16" t="n">
        <x:v>5</x:v>
      </x:c>
      <x:c r="I108" s="14" t="str"/>
      <x:c r="J108" s="14" t="str">
        <x:v>Backend</x:v>
      </x:c>
      <x:c r="K108" s="14" t="str">
        <x:v>À faire</x:v>
      </x:c>
      <x:c r="L108" s="14" t="str">
        <x:v>Moyen</x:v>
      </x:c>
      <x:c r="M108" s="14" t="str">
        <x:v>Aucune fuite de coût via API.</x:v>
      </x:c>
      <x:c r="N108" s="14" t="str">
        <x:v>E2E</x:v>
      </x:c>
      <x:c r="O108" s="14" t="str">
        <x:v>Sprint 8</x:v>
      </x:c>
      <x:c r="P108" s="14" t="str"/>
    </x:row>
    <x:row r="109">
      <x:c r="A109" s="16" t="str">
        <x:v>US-108</x:v>
      </x:c>
      <x:c r="B109" s="14" t="str">
        <x:v>E14</x:v>
      </x:c>
      <x:c r="C109" s="14" t="str">
        <x:v>Périmètres</x:v>
      </x:c>
      <x:c r="D109" s="14" t="str">
        <x:v>Périmètre site/projet</x:v>
      </x:c>
      <x:c r="E109" s="14" t="str">
        <x:v>Limiter lecture/édition par site/projet/entité.</x:v>
      </x:c>
      <x:c r="F109" s="14" t="str">
        <x:v>Must</x:v>
      </x:c>
      <x:c r="G109" s="14" t="str">
        <x:v>V1</x:v>
      </x:c>
      <x:c r="H109" s="16" t="n">
        <x:v>8</x:v>
      </x:c>
      <x:c r="I109" s="14" t="str"/>
      <x:c r="J109" s="14" t="str">
        <x:v>Backend</x:v>
      </x:c>
      <x:c r="K109" s="14" t="str">
        <x:v>À faire</x:v>
      </x:c>
      <x:c r="L109" s="14" t="str">
        <x:v>Moyen</x:v>
      </x:c>
      <x:c r="M109" s="14" t="str">
        <x:v>Filtrage serveur obligatoire.</x:v>
      </x:c>
      <x:c r="N109" s="14" t="str">
        <x:v>E2E</x:v>
      </x:c>
      <x:c r="O109" s="14" t="str">
        <x:v>Sprint 0</x:v>
      </x:c>
      <x:c r="P109" s="14" t="str"/>
    </x:row>
    <x:row r="110">
      <x:c r="A110" s="16" t="str">
        <x:v>US-109</x:v>
      </x:c>
      <x:c r="B110" s="14" t="str">
        <x:v>E14</x:v>
      </x:c>
      <x:c r="C110" s="14" t="str">
        <x:v>Actions sensibles</x:v>
      </x:c>
      <x:c r="D110" s="14" t="str">
        <x:v>Forcer conflit avec justification</x:v>
      </x:c>
      <x:c r="E110" s="14" t="str">
        <x:v>Réservé profils habilités; justification obligatoire.</x:v>
      </x:c>
      <x:c r="F110" s="14" t="str">
        <x:v>Must</x:v>
      </x:c>
      <x:c r="G110" s="14" t="str">
        <x:v>V1</x:v>
      </x:c>
      <x:c r="H110" s="16" t="n">
        <x:v>5</x:v>
      </x:c>
      <x:c r="I110" s="14" t="str"/>
      <x:c r="J110" s="14" t="str">
        <x:v>Backend</x:v>
      </x:c>
      <x:c r="K110" s="14" t="str">
        <x:v>À faire</x:v>
      </x:c>
      <x:c r="L110" s="14" t="str">
        <x:v>Moyen</x:v>
      </x:c>
      <x:c r="M110" s="14" t="str">
        <x:v>Action auditée et visible.</x:v>
      </x:c>
      <x:c r="N110" s="14" t="str">
        <x:v>E2E</x:v>
      </x:c>
      <x:c r="O110" s="14" t="str">
        <x:v>Sprint 8</x:v>
      </x:c>
      <x:c r="P110" s="14" t="str"/>
    </x:row>
    <x:row r="111">
      <x:c r="A111" s="16" t="str">
        <x:v>US-110</x:v>
      </x:c>
      <x:c r="B111" s="14" t="str">
        <x:v>E15</x:v>
      </x:c>
      <x:c r="C111" s="14" t="str">
        <x:v>Tests unitaires</x:v>
      </x:c>
      <x:c r="D111" s="14" t="str">
        <x:v>SchedulingEngine</x:v>
      </x:c>
      <x:c r="E111" s="14" t="str">
        <x:v>Tester temps, week-end, fériés, chevauchements, capacité.</x:v>
      </x:c>
      <x:c r="F111" s="14" t="str">
        <x:v>Must</x:v>
      </x:c>
      <x:c r="G111" s="14" t="str">
        <x:v>V1</x:v>
      </x:c>
      <x:c r="H111" s="16" t="n">
        <x:v>8</x:v>
      </x:c>
      <x:c r="I111" s="14" t="str"/>
      <x:c r="J111" s="14" t="str">
        <x:v>QA</x:v>
      </x:c>
      <x:c r="K111" s="14" t="str">
        <x:v>À faire</x:v>
      </x:c>
      <x:c r="L111" s="14" t="str">
        <x:v>Moyen</x:v>
      </x:c>
      <x:c r="M111" s="14" t="str">
        <x:v>Couverture forte sur fonctions critiques.</x:v>
      </x:c>
      <x:c r="N111" s="14" t="str">
        <x:v>Unit</x:v>
      </x:c>
      <x:c r="O111" s="14" t="str">
        <x:v>Sprint 9</x:v>
      </x:c>
      <x:c r="P111" s="14" t="str"/>
    </x:row>
    <x:row r="112">
      <x:c r="A112" s="16" t="str">
        <x:v>US-111</x:v>
      </x:c>
      <x:c r="B112" s="14" t="str">
        <x:v>E15</x:v>
      </x:c>
      <x:c r="C112" s="14" t="str">
        <x:v>Tests unitaires</x:v>
      </x:c>
      <x:c r="D112" s="14" t="str">
        <x:v>QuoteConsumptionEngine</x:v>
      </x:c>
      <x:c r="E112" s="14" t="str">
        <x:v>Tester vendu/planifié/compléments/dépassements.</x:v>
      </x:c>
      <x:c r="F112" s="14" t="str">
        <x:v>Must</x:v>
      </x:c>
      <x:c r="G112" s="14" t="str">
        <x:v>V1</x:v>
      </x:c>
      <x:c r="H112" s="16" t="n">
        <x:v>8</x:v>
      </x:c>
      <x:c r="I112" s="14" t="str"/>
      <x:c r="J112" s="14" t="str">
        <x:v>QA</x:v>
      </x:c>
      <x:c r="K112" s="14" t="str">
        <x:v>À faire</x:v>
      </x:c>
      <x:c r="L112" s="14" t="str">
        <x:v>Moyen</x:v>
      </x:c>
      <x:c r="M112" s="14" t="str">
        <x:v>Cas principaux et limites couverts.</x:v>
      </x:c>
      <x:c r="N112" s="14" t="str">
        <x:v>Unit</x:v>
      </x:c>
      <x:c r="O112" s="14" t="str">
        <x:v>Sprint 9</x:v>
      </x:c>
      <x:c r="P112" s="14" t="str"/>
    </x:row>
    <x:row r="113">
      <x:c r="A113" s="16" t="str">
        <x:v>US-112</x:v>
      </x:c>
      <x:c r="B113" s="14" t="str">
        <x:v>E15</x:v>
      </x:c>
      <x:c r="C113" s="14" t="str">
        <x:v>Tests intégration</x:v>
      </x:c>
      <x:c r="D113" s="14" t="str">
        <x:v>Planning→Devis complémentaire</x:v>
      </x:c>
      <x:c r="E113" s="14" t="str">
        <x:v>Tester transaction complète et rollback.</x:v>
      </x:c>
      <x:c r="F113" s="14" t="str">
        <x:v>Must</x:v>
      </x:c>
      <x:c r="G113" s="14" t="str">
        <x:v>V1</x:v>
      </x:c>
      <x:c r="H113" s="16" t="n">
        <x:v>8</x:v>
      </x:c>
      <x:c r="I113" s="14" t="str"/>
      <x:c r="J113" s="14" t="str">
        <x:v>QA</x:v>
      </x:c>
      <x:c r="K113" s="14" t="str">
        <x:v>À faire</x:v>
      </x:c>
      <x:c r="L113" s="14" t="str">
        <x:v>Moyen</x:v>
      </x:c>
      <x:c r="M113" s="14" t="str">
        <x:v>Aucun état partiel si erreur.</x:v>
      </x:c>
      <x:c r="N113" s="14" t="str">
        <x:v>Integration</x:v>
      </x:c>
      <x:c r="O113" s="14" t="str">
        <x:v>Sprint 9</x:v>
      </x:c>
      <x:c r="P113" s="14" t="str"/>
    </x:row>
    <x:row r="114">
      <x:c r="A114" s="16" t="str">
        <x:v>US-113</x:v>
      </x:c>
      <x:c r="B114" s="14" t="str">
        <x:v>E15</x:v>
      </x:c>
      <x:c r="C114" s="14" t="str">
        <x:v>Tests E2E</x:v>
      </x:c>
      <x:c r="D114" s="14" t="str">
        <x:v>Parcours planning principal</x:v>
      </x:c>
      <x:c r="E114" s="14" t="str">
        <x:v>Ouvrir devis→planifier→copier→resize→dépasser→complément.</x:v>
      </x:c>
      <x:c r="F114" s="14" t="str">
        <x:v>Must</x:v>
      </x:c>
      <x:c r="G114" s="14" t="str">
        <x:v>V1</x:v>
      </x:c>
      <x:c r="H114" s="16" t="n">
        <x:v>8</x:v>
      </x:c>
      <x:c r="I114" s="14" t="str"/>
      <x:c r="J114" s="14" t="str">
        <x:v>QA</x:v>
      </x:c>
      <x:c r="K114" s="14" t="str">
        <x:v>À faire</x:v>
      </x:c>
      <x:c r="L114" s="14" t="str">
        <x:v>Moyen</x:v>
      </x:c>
      <x:c r="M114" s="14" t="str">
        <x:v>Parcours automatisé stable.</x:v>
      </x:c>
      <x:c r="N114" s="14" t="str">
        <x:v>E2E</x:v>
      </x:c>
      <x:c r="O114" s="14" t="str">
        <x:v>Sprint 9</x:v>
      </x:c>
      <x:c r="P114" s="14" t="str"/>
    </x:row>
    <x:row r="115">
      <x:c r="A115" s="16" t="str">
        <x:v>US-114</x:v>
      </x:c>
      <x:c r="B115" s="14" t="str">
        <x:v>E15</x:v>
      </x:c>
      <x:c r="C115" s="14" t="str">
        <x:v>Performance</x:v>
      </x:c>
      <x:c r="D115" s="14" t="str">
        <x:v>Dataset 250 ressources / 10k réservations</x:v>
      </x:c>
      <x:c r="E115" s="14" t="str">
        <x:v>Benchmark vues 6 semaines et 3 mois.</x:v>
      </x:c>
      <x:c r="F115" s="14" t="str">
        <x:v>Must</x:v>
      </x:c>
      <x:c r="G115" s="14" t="str">
        <x:v>V1</x:v>
      </x:c>
      <x:c r="H115" s="16" t="n">
        <x:v>13</x:v>
      </x:c>
      <x:c r="I115" s="14" t="str"/>
      <x:c r="J115" s="14" t="str">
        <x:v>QA</x:v>
      </x:c>
      <x:c r="K115" s="14" t="str">
        <x:v>À faire</x:v>
      </x:c>
      <x:c r="L115" s="14" t="str">
        <x:v>Élevé</x:v>
      </x:c>
      <x:c r="M115" s="14" t="str">
        <x:v>Scroll/drag sans freeze; objectifs latence documentés.</x:v>
      </x:c>
      <x:c r="N115" s="14" t="str">
        <x:v>Performance</x:v>
      </x:c>
      <x:c r="O115" s="14" t="str">
        <x:v>Sprint 9</x:v>
      </x:c>
      <x:c r="P115" s="14" t="str"/>
    </x:row>
    <x:row r="116">
      <x:c r="A116" s="16" t="str">
        <x:v>US-115</x:v>
      </x:c>
      <x:c r="B116" s="14" t="str">
        <x:v>E15</x:v>
      </x:c>
      <x:c r="C116" s="14" t="str">
        <x:v>Résilience</x:v>
      </x:c>
      <x:c r="D116" s="14" t="str">
        <x:v>Perte réseau pendant mutation</x:v>
      </x:c>
      <x:c r="E116" s="14" t="str">
        <x:v>UI affiche hors ligne, rollback ou retry sécurisé.</x:v>
      </x:c>
      <x:c r="F116" s="14" t="str">
        <x:v>Must</x:v>
      </x:c>
      <x:c r="G116" s="14" t="str">
        <x:v>V1</x:v>
      </x:c>
      <x:c r="H116" s="16" t="n">
        <x:v>8</x:v>
      </x:c>
      <x:c r="I116" s="14" t="str"/>
      <x:c r="J116" s="14" t="str">
        <x:v>QA</x:v>
      </x:c>
      <x:c r="K116" s="14" t="str">
        <x:v>À faire</x:v>
      </x:c>
      <x:c r="L116" s="14" t="str">
        <x:v>Moyen</x:v>
      </x:c>
      <x:c r="M116" s="14" t="str">
        <x:v>Aucune fausse confirmation de sauvegarde.</x:v>
      </x:c>
      <x:c r="N116" s="14" t="str">
        <x:v>Resilience</x:v>
      </x:c>
      <x:c r="O116" s="14" t="str">
        <x:v>Sprint 9</x:v>
      </x:c>
      <x:c r="P116" s="14" t="str"/>
    </x:row>
    <x:row r="117">
      <x:c r="A117" s="16" t="str">
        <x:v>US-116</x:v>
      </x:c>
      <x:c r="B117" s="14" t="str">
        <x:v>E15</x:v>
      </x:c>
      <x:c r="C117" s="14" t="str">
        <x:v>Navigateurs</x:v>
      </x:c>
      <x:c r="D117" s="14" t="str">
        <x:v>Chrome/Safari/Edge</x:v>
      </x:c>
      <x:c r="E117" s="14" t="str">
        <x:v>QA responsive desktop et ultrawide.</x:v>
      </x:c>
      <x:c r="F117" s="14" t="str">
        <x:v>Must</x:v>
      </x:c>
      <x:c r="G117" s="14" t="str">
        <x:v>V1</x:v>
      </x:c>
      <x:c r="H117" s="16" t="n">
        <x:v>5</x:v>
      </x:c>
      <x:c r="I117" s="14" t="str"/>
      <x:c r="J117" s="14" t="str">
        <x:v>QA</x:v>
      </x:c>
      <x:c r="K117" s="14" t="str">
        <x:v>À faire</x:v>
      </x:c>
      <x:c r="L117" s="14" t="str">
        <x:v>Moyen</x:v>
      </x:c>
      <x:c r="M117" s="14" t="str">
        <x:v>Fonctions critiques identiques.</x:v>
      </x:c>
      <x:c r="N117" s="14" t="str">
        <x:v>E2E</x:v>
      </x:c>
      <x:c r="O117" s="14" t="str">
        <x:v>Sprint 9</x:v>
      </x:c>
      <x:c r="P117" s="14" t="str"/>
    </x:row>
    <x:row r="118">
      <x:c r="A118" s="16" t="str">
        <x:v>US-117</x:v>
      </x:c>
      <x:c r="B118" s="14" t="str">
        <x:v>E15</x:v>
      </x:c>
      <x:c r="C118" s="14" t="str">
        <x:v>A11y</x:v>
      </x:c>
      <x:c r="D118" s="14" t="str">
        <x:v>Accessibilité minimale</x:v>
      </x:c>
      <x:c r="E118" s="14" t="str">
        <x:v>Focus clavier, contraste, labels, couleurs non exclusives.</x:v>
      </x:c>
      <x:c r="F118" s="14" t="str">
        <x:v>Must</x:v>
      </x:c>
      <x:c r="G118" s="14" t="str">
        <x:v>V1</x:v>
      </x:c>
      <x:c r="H118" s="16" t="n">
        <x:v>5</x:v>
      </x:c>
      <x:c r="I118" s="14" t="str"/>
      <x:c r="J118" s="14" t="str">
        <x:v>QA</x:v>
      </x:c>
      <x:c r="K118" s="14" t="str">
        <x:v>À faire</x:v>
      </x:c>
      <x:c r="L118" s="14" t="str">
        <x:v>Moyen</x:v>
      </x:c>
      <x:c r="M118" s="14" t="str">
        <x:v>Audit accessibilité sans défaut critique.</x:v>
      </x:c>
      <x:c r="N118" s="14" t="str">
        <x:v>E2E</x:v>
      </x:c>
      <x:c r="O118" s="14" t="str">
        <x:v>Sprint 9</x:v>
      </x:c>
      <x:c r="P118" s="14" t="str"/>
    </x:row>
    <x:row r="119">
      <x:c r="A119" s="16" t="str">
        <x:v>US-118</x:v>
      </x:c>
      <x:c r="B119" s="14" t="str">
        <x:v>E15</x:v>
      </x:c>
      <x:c r="C119" s="14" t="str">
        <x:v>Non-régression</x:v>
      </x:c>
      <x:c r="D119" s="14" t="str">
        <x:v>Pipeline CI</x:v>
      </x:c>
      <x:c r="E119" s="14" t="str">
        <x:v>Tests unitaires, intégration, E2E critiques à chaque merge.</x:v>
      </x:c>
      <x:c r="F119" s="14" t="str">
        <x:v>Must</x:v>
      </x:c>
      <x:c r="G119" s="14" t="str">
        <x:v>V1</x:v>
      </x:c>
      <x:c r="H119" s="16" t="n">
        <x:v>8</x:v>
      </x:c>
      <x:c r="I119" s="14" t="str"/>
      <x:c r="J119" s="14" t="str">
        <x:v>QA</x:v>
      </x:c>
      <x:c r="K119" s="14" t="str">
        <x:v>À faire</x:v>
      </x:c>
      <x:c r="L119" s="14" t="str">
        <x:v>Moyen</x:v>
      </x:c>
      <x:c r="M119" s="14" t="str">
        <x:v>Merge bloqué si tests critiques échouent.</x:v>
      </x:c>
      <x:c r="N119" s="14" t="str">
        <x:v>E2E</x:v>
      </x:c>
      <x:c r="O119" s="14" t="str">
        <x:v>Sprint 9</x:v>
      </x:c>
      <x:c r="P119" s="14" t="str"/>
    </x:row>
    <x:row r="120">
      <x:c r="A120" s="16" t="str">
        <x:v>US-119</x:v>
      </x:c>
      <x:c r="B120" s="14" t="str">
        <x:v>E16</x:v>
      </x:c>
      <x:c r="C120" s="14" t="str">
        <x:v>SAGE</x:v>
      </x:c>
      <x:c r="D120" s="14" t="str">
        <x:v>Préparer interface SAGE</x:v>
      </x:c>
      <x:c r="E120" s="14" t="str">
        <x:v>Définir mapping et stratégie future sans synchronisation automatique V1.</x:v>
      </x:c>
      <x:c r="F120" s="14" t="str">
        <x:v>Could</x:v>
      </x:c>
      <x:c r="G120" s="14" t="str">
        <x:v>V2</x:v>
      </x:c>
      <x:c r="H120" s="16" t="n">
        <x:v>8</x:v>
      </x:c>
      <x:c r="I120" s="14" t="str"/>
      <x:c r="J120" s="14" t="str">
        <x:v>À affecter</x:v>
      </x:c>
      <x:c r="K120" s="14" t="str">
        <x:v>À faire</x:v>
      </x:c>
      <x:c r="L120" s="14" t="str">
        <x:v>Moyen</x:v>
      </x:c>
      <x:c r="M120" s="14" t="str">
        <x:v>Contrat d’intégration documenté; aucune dépendance V1.</x:v>
      </x:c>
      <x:c r="N120" s="14" t="str">
        <x:v>E2E</x:v>
      </x:c>
      <x:c r="O120" s="14" t="str"/>
      <x:c r="P120" s="14" t="str"/>
    </x:row>
    <x:row r="121">
      <x:c r="A121" s="16" t="str">
        <x:v>US-120</x:v>
      </x:c>
      <x:c r="B121" s="14" t="str">
        <x:v>E16</x:v>
      </x:c>
      <x:c r="C121" s="14" t="str">
        <x:v>Calendrier</x:v>
      </x:c>
      <x:c r="D121" s="14" t="str">
        <x:v>Outlook/Google Calendar</x:v>
      </x:c>
      <x:c r="E121" s="14" t="str">
        <x:v>Synchronisation calendriers personnels.</x:v>
      </x:c>
      <x:c r="F121" s="14" t="str">
        <x:v>Could</x:v>
      </x:c>
      <x:c r="G121" s="14" t="str">
        <x:v>V2</x:v>
      </x:c>
      <x:c r="H121" s="16" t="n">
        <x:v>13</x:v>
      </x:c>
      <x:c r="I121" s="14" t="str"/>
      <x:c r="J121" s="14" t="str">
        <x:v>À affecter</x:v>
      </x:c>
      <x:c r="K121" s="14" t="str">
        <x:v>À faire</x:v>
      </x:c>
      <x:c r="L121" s="14" t="str">
        <x:v>Moyen</x:v>
      </x:c>
      <x:c r="M121" s="14" t="str">
        <x:v>Décision et design d’intégration validés.</x:v>
      </x:c>
      <x:c r="N121" s="14" t="str">
        <x:v>E2E</x:v>
      </x:c>
      <x:c r="O121" s="14" t="str"/>
      <x:c r="P121" s="14" t="str"/>
    </x:row>
    <x:row r="122">
      <x:c r="A122" s="16" t="str">
        <x:v>US-121</x:v>
      </x:c>
      <x:c r="B122" s="14" t="str">
        <x:v>E17</x:v>
      </x:c>
      <x:c r="C122" s="14" t="str">
        <x:v>Optimisation</x:v>
      </x:c>
      <x:c r="D122" s="14" t="str">
        <x:v>Placement automatique optimisé</x:v>
      </x:c>
      <x:c r="E122" s="14" t="str">
        <x:v>Proposer répartition multi-ressources tenant contraintes et priorités.</x:v>
      </x:c>
      <x:c r="F122" s="14" t="str">
        <x:v>Should</x:v>
      </x:c>
      <x:c r="G122" s="14" t="str">
        <x:v>V2</x:v>
      </x:c>
      <x:c r="H122" s="16" t="n">
        <x:v>13</x:v>
      </x:c>
      <x:c r="I122" s="14" t="str"/>
      <x:c r="J122" s="14" t="str">
        <x:v>À affecter</x:v>
      </x:c>
      <x:c r="K122" s="14" t="str">
        <x:v>À faire</x:v>
      </x:c>
      <x:c r="L122" s="14" t="str">
        <x:v>Moyen</x:v>
      </x:c>
      <x:c r="M122" s="14" t="str">
        <x:v>Prévisualisation et score de proposition.</x:v>
      </x:c>
      <x:c r="N122" s="14" t="str">
        <x:v>AI Eval</x:v>
      </x:c>
      <x:c r="O122" s="14" t="str"/>
      <x:c r="P122" s="14" t="str"/>
    </x:row>
    <x:row r="123">
      <x:c r="A123" s="16" t="str">
        <x:v>US-122</x:v>
      </x:c>
      <x:c r="B123" s="14" t="str">
        <x:v>E17</x:v>
      </x:c>
      <x:c r="C123" s="14" t="str">
        <x:v>Prédiction</x:v>
      </x:c>
      <x:c r="D123" s="14" t="str">
        <x:v>Prévision saturation</x:v>
      </x:c>
      <x:c r="E123" s="14" t="str">
        <x:v>Détecter saturation future et suggérer alternatives.</x:v>
      </x:c>
      <x:c r="F123" s="14" t="str">
        <x:v>Should</x:v>
      </x:c>
      <x:c r="G123" s="14" t="str">
        <x:v>V2</x:v>
      </x:c>
      <x:c r="H123" s="16" t="n">
        <x:v>13</x:v>
      </x:c>
      <x:c r="I123" s="14" t="str"/>
      <x:c r="J123" s="14" t="str">
        <x:v>À affecter</x:v>
      </x:c>
      <x:c r="K123" s="14" t="str">
        <x:v>À faire</x:v>
      </x:c>
      <x:c r="L123" s="14" t="str">
        <x:v>Moyen</x:v>
      </x:c>
      <x:c r="M123" s="14" t="str">
        <x:v>Alerte expliquée et actionnable.</x:v>
      </x:c>
      <x:c r="N123" s="14" t="str">
        <x:v>AI Eval</x:v>
      </x:c>
      <x:c r="O123" s="14" t="str"/>
      <x:c r="P123" s="14" t="str"/>
    </x:row>
    <x:row r="124">
      <x:c r="A124" s="16" t="str">
        <x:v>US-123</x:v>
      </x:c>
      <x:c r="B124" s="14" t="str">
        <x:v>E17</x:v>
      </x:c>
      <x:c r="C124" s="14" t="str">
        <x:v>Forecast IA</x:v>
      </x:c>
      <x:c r="D124" s="14" t="str">
        <x:v>Prévision CA/capacité</x:v>
      </x:c>
      <x:c r="E124" s="14" t="str">
        <x:v>Modèles IA en complément du forecast déterministe.</x:v>
      </x:c>
      <x:c r="F124" s="14" t="str">
        <x:v>Could</x:v>
      </x:c>
      <x:c r="G124" s="14" t="str">
        <x:v>V3</x:v>
      </x:c>
      <x:c r="H124" s="16" t="n">
        <x:v>13</x:v>
      </x:c>
      <x:c r="I124" s="14" t="str"/>
      <x:c r="J124" s="14" t="str">
        <x:v>À affecter</x:v>
      </x:c>
      <x:c r="K124" s="14" t="str">
        <x:v>À faire</x:v>
      </x:c>
      <x:c r="L124" s="14" t="str">
        <x:v>Moyen</x:v>
      </x:c>
      <x:c r="M124" s="14" t="str">
        <x:v>Toujours distinguer prédiction et réalisé.</x:v>
      </x:c>
      <x:c r="N124" s="14" t="str">
        <x:v>AI Eval</x:v>
      </x:c>
      <x:c r="O124" s="14" t="str"/>
      <x:c r="P124" s="14" t="str"/>
    </x:row>
    <x:row r="125">
      <x:c r="A125" s="16" t="str">
        <x:v>US-124</x:v>
      </x:c>
      <x:c r="B125" s="14" t="str">
        <x:v>E18</x:v>
      </x:c>
      <x:c r="C125" s="14" t="str">
        <x:v>Mobile</x:v>
      </x:c>
      <x:c r="D125" s="14" t="str">
        <x:v>Consultation mobile</x:v>
      </x:c>
      <x:c r="E125" s="14" t="str">
        <x:v>Afficher planning/projet/réservation en lecture.</x:v>
      </x:c>
      <x:c r="F125" s="14" t="str">
        <x:v>Could</x:v>
      </x:c>
      <x:c r="G125" s="14" t="str">
        <x:v>V3</x:v>
      </x:c>
      <x:c r="H125" s="16" t="n">
        <x:v>8</x:v>
      </x:c>
      <x:c r="I125" s="14" t="str"/>
      <x:c r="J125" s="14" t="str">
        <x:v>À affecter</x:v>
      </x:c>
      <x:c r="K125" s="14" t="str">
        <x:v>À faire</x:v>
      </x:c>
      <x:c r="L125" s="14" t="str">
        <x:v>Moyen</x:v>
      </x:c>
      <x:c r="M125" s="14" t="str">
        <x:v>Lecture claire sur smartphone.</x:v>
      </x:c>
      <x:c r="N125" s="14" t="str">
        <x:v>E2E</x:v>
      </x:c>
      <x:c r="O125" s="14" t="str"/>
      <x:c r="P125" s="14" t="str"/>
    </x:row>
    <x:row r="126">
      <x:c r="A126" s="16" t="str">
        <x:v>US-125</x:v>
      </x:c>
      <x:c r="B126" s="14" t="str">
        <x:v>E18</x:v>
      </x:c>
      <x:c r="C126" s="14" t="str">
        <x:v>Mobile</x:v>
      </x:c>
      <x:c r="D126" s="14" t="str">
        <x:v>Confirmation légère</x:v>
      </x:c>
      <x:c r="E126" s="14" t="str">
        <x:v>Permettre certaines validations simples depuis mobile.</x:v>
      </x:c>
      <x:c r="F126" s="14" t="str">
        <x:v>Could</x:v>
      </x:c>
      <x:c r="G126" s="14" t="str">
        <x:v>V3</x:v>
      </x:c>
      <x:c r="H126" s="16" t="n">
        <x:v>8</x:v>
      </x:c>
      <x:c r="I126" s="14" t="str"/>
      <x:c r="J126" s="14" t="str">
        <x:v>À affecter</x:v>
      </x:c>
      <x:c r="K126" s="14" t="str">
        <x:v>À faire</x:v>
      </x:c>
      <x:c r="L126" s="14" t="str">
        <x:v>Moyen</x:v>
      </x:c>
      <x:c r="M126" s="14" t="str">
        <x:v>Permissions et audit identiques au desktop.</x:v>
      </x:c>
      <x:c r="N126" s="14" t="str">
        <x:v>E2E</x:v>
      </x:c>
      <x:c r="O126" s="14" t="str"/>
      <x:c r="P126" s="14" t="str"/>
    </x:row>
  </x:sheetData>
  <x:conditionalFormatting sqref="K2:K126">
    <x:cfRule type="expression" dxfId="0" priority="1">
      <x:formula>K2="Terminé"</x:formula>
    </x:cfRule>
    <x:cfRule type="expression" dxfId="1" priority="2">
      <x:formula>K2="En cours"</x:formula>
    </x:cfRule>
    <x:cfRule type="expression" dxfId="2" priority="3">
      <x:formula>K2="Bloqué"</x:formula>
    </x:cfRule>
  </x:conditionalFormatting>
  <x:conditionalFormatting sqref="F2:F126">
    <x:cfRule type="expression" dxfId="3" priority="4">
      <x:formula>F2="Must"</x:formula>
    </x:cfRule>
  </x:conditionalFormatting>
  <x:conditionalFormatting sqref="L2:L126">
    <x:cfRule type="expression" dxfId="4" priority="5">
      <x:formula>L2="Élevé"</x:formula>
    </x:cfRule>
  </x:conditionalFormatting>
  <x:dataValidations count="6">
    <x:dataValidation type="list" sqref="F2:F126">
      <x:formula1>"Must,Should,Could,Won't"</x:formula1>
    </x:dataValidation>
    <x:dataValidation type="list" sqref="G2:G126">
      <x:formula1>"V1,V2,V3"</x:formula1>
    </x:dataValidation>
    <x:dataValidation type="list" sqref="K2:K126">
      <x:formula1>"À faire,En cours,Bloqué,En revue,Terminé"</x:formula1>
    </x:dataValidation>
    <x:dataValidation type="list" sqref="L2:L126">
      <x:formula1>"Faible,Moyen,Élevé"</x:formula1>
    </x:dataValidation>
    <x:dataValidation type="list" sqref="J2:J126">
      <x:formula1>"À affecter,Frontend,Backend,Fullstack,QA,Data/IA,DevOps,Produit,Finance"</x:formula1>
    </x:dataValidation>
    <x:dataValidation type="list" sqref="N2:N126">
      <x:formula1>"Unit,Integration,E2E,Performance,AI Eval,Contract,Ops,Resilience,Load,Revue"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2cf419a47347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70" hidden="0" customWidth="1"/>
    <x:col min="4" max="4" width="14" hidden="0" customWidth="1"/>
  </x:cols>
  <x:sheetData>
    <x:row r="1" ht="30" customHeight="1">
      <x:c r="A1" s="6" t="str">
        <x:v>Epic ID</x:v>
      </x:c>
      <x:c r="B1" s="6" t="str">
        <x:v>Epic</x:v>
      </x:c>
      <x:c r="C1" s="6" t="str">
        <x:v>Objectif</x:v>
      </x:c>
      <x:c r="D1" s="6" t="str">
        <x:v>Version cible</x:v>
      </x:c>
    </x:row>
    <x:row r="2">
      <x:c r="A2" s="12" t="str">
        <x:v>E01</x:v>
      </x:c>
      <x:c r="B2" s="12" t="str">
        <x:v>Fondations &amp; architecture</x:v>
      </x:c>
      <x:c r="C2" s="12" t="str">
        <x:v>Socle technique, contrats API, auth, audit, événements, observabilité</x:v>
      </x:c>
      <x:c r="D2" s="12" t="str">
        <x:v>V1</x:v>
      </x:c>
    </x:row>
    <x:row r="3">
      <x:c r="A3" s="12" t="str">
        <x:v>E02</x:v>
      </x:c>
      <x:c r="B3" s="12" t="str">
        <x:v>Clients &amp; projets</x:v>
      </x:c>
      <x:c r="C3" s="12" t="str">
        <x:v>Gestion clients, projets, statuts, contacts, entités et sites</x:v>
      </x:c>
      <x:c r="D3" s="12" t="str">
        <x:v>V1</x:v>
      </x:c>
    </x:row>
    <x:row r="4">
      <x:c r="A4" s="12" t="str">
        <x:v>E03</x:v>
      </x:c>
      <x:c r="B4" s="12" t="str">
        <x:v>Catalogue prestations &amp; tarifs</x:v>
      </x:c>
      <x:c r="C4" s="12" t="str">
        <x:v>Prestations, unités, grilles tarifaires client/génériques, historique prix</x:v>
      </x:c>
      <x:c r="D4" s="12" t="str">
        <x:v>V1</x:v>
      </x:c>
    </x:row>
    <x:row r="5">
      <x:c r="A5" s="12" t="str">
        <x:v>E04</x:v>
      </x:c>
      <x:c r="B5" s="12" t="str">
        <x:v>Budget &amp; devis</x:v>
      </x:c>
      <x:c r="C5" s="12" t="str">
        <x:v>Éditeur budget/devis, workflow, statuts, conversion, CA signé</x:v>
      </x:c>
      <x:c r="D5" s="12" t="str">
        <x:v>V1</x:v>
      </x:c>
    </x:row>
    <x:row r="6">
      <x:c r="A6" s="12" t="str">
        <x:v>E05</x:v>
      </x:c>
      <x:c r="B6" s="12" t="str">
        <x:v>Moteur Planning graphique</x:v>
      </x:c>
      <x:c r="C6" s="12" t="str">
        <x:v>Viewport, vues temps, virtualisation, navigation, plein écran, interaction</x:v>
      </x:c>
      <x:c r="D6" s="12" t="str">
        <x:v>V1</x:v>
      </x:c>
    </x:row>
    <x:row r="7">
      <x:c r="A7" s="12" t="str">
        <x:v>E06</x:v>
      </x:c>
      <x:c r="B7" s="12" t="str">
        <x:v>Réservations &amp; calendrier métier</x:v>
      </x:c>
      <x:c r="C7" s="12" t="str">
        <x:v>Création, drag/drop, resize, week-end, jours fériés, conflits</x:v>
      </x:c>
      <x:c r="D7" s="12" t="str">
        <x:v>V1</x:v>
      </x:c>
    </x:row>
    <x:row r="8">
      <x:c r="A8" s="12" t="str">
        <x:v>E07</x:v>
      </x:c>
      <x:c r="B8" s="12" t="str">
        <x:v>Lien Devis ↔ Planning</x:v>
      </x:c>
      <x:c r="C8" s="12" t="str">
        <x:v>Consommation devis, reste à planifier, dépassement, complément automatique</x:v>
      </x:c>
      <x:c r="D8" s="12" t="str">
        <x:v>V1</x:v>
      </x:c>
    </x:row>
    <x:row r="9">
      <x:c r="A9" s="12" t="str">
        <x:v>E08</x:v>
      </x:c>
      <x:c r="B9" s="12" t="str">
        <x:v>PLANYBOT Planning</x:v>
      </x:c>
      <x:c r="C9" s="12" t="str">
        <x:v>Assistant, analyse, recommandations, actions validées, import Excel</x:v>
      </x:c>
      <x:c r="D9" s="12" t="str">
        <x:v>V1</x:v>
      </x:c>
    </x:row>
    <x:row r="10">
      <x:c r="A10" s="12" t="str">
        <x:v>E09</x:v>
      </x:c>
      <x:c r="B10" s="12" t="str">
        <x:v>Ressources &amp; capacité</x:v>
      </x:c>
      <x:c r="C10" s="12" t="str">
        <x:v>Salles, personnes, matériel, capacité, maintenance, options</x:v>
      </x:c>
      <x:c r="D10" s="12" t="str">
        <x:v>V1</x:v>
      </x:c>
    </x:row>
    <x:row r="11">
      <x:c r="A11" s="12" t="str">
        <x:v>E10</x:v>
      </x:c>
      <x:c r="B11" s="12" t="str">
        <x:v>Multi-utilisateur &amp; temps réel</x:v>
      </x:c>
      <x:c r="C11" s="12" t="str">
        <x:v>Concurrence, présence, verrouillage court, synchro temps réel</x:v>
      </x:c>
      <x:c r="D11" s="12" t="str">
        <x:v>V1</x:v>
      </x:c>
    </x:row>
    <x:row r="12">
      <x:c r="A12" s="12" t="str">
        <x:v>E11</x:v>
      </x:c>
      <x:c r="B12" s="12" t="str">
        <x:v>Réalisé &amp; clôture</x:v>
      </x:c>
      <x:c r="C12" s="12" t="str">
        <x:v>Validation du réalisé par planificateur, écarts planifié/réalisé</x:v>
      </x:c>
      <x:c r="D12" s="12" t="str">
        <x:v>V1</x:v>
      </x:c>
    </x:row>
    <x:row r="13">
      <x:c r="A13" s="12" t="str">
        <x:v>E12</x:v>
      </x:c>
      <x:c r="B13" s="12" t="str">
        <x:v>Finance &amp; Analytics</x:v>
      </x:c>
      <x:c r="C13" s="12" t="str">
        <x:v>CA, coûts, marges, occupation, backlog, forecast, drill-down</x:v>
      </x:c>
      <x:c r="D13" s="12" t="str">
        <x:v>V1</x:v>
      </x:c>
    </x:row>
    <x:row r="14">
      <x:c r="A14" s="12" t="str">
        <x:v>E13</x:v>
      </x:c>
      <x:c r="B14" s="12" t="str">
        <x:v>Exports &amp; reporting</x:v>
      </x:c>
      <x:c r="C14" s="12" t="str">
        <x:v>Excel, PDF, exports BI, API analytics</x:v>
      </x:c>
      <x:c r="D14" s="12" t="str">
        <x:v>V1</x:v>
      </x:c>
    </x:row>
    <x:row r="15">
      <x:c r="A15" s="12" t="str">
        <x:v>E14</x:v>
      </x:c>
      <x:c r="B15" s="12" t="str">
        <x:v>Sécurité &amp; permissions</x:v>
      </x:c>
      <x:c r="C15" s="12" t="str">
        <x:v>RBAC, visibilité coûts/marges, périmètres par rôle/site</x:v>
      </x:c>
      <x:c r="D15" s="12" t="str">
        <x:v>V1</x:v>
      </x:c>
    </x:row>
    <x:row r="16">
      <x:c r="A16" s="12" t="str">
        <x:v>E15</x:v>
      </x:c>
      <x:c r="B16" s="12" t="str">
        <x:v>QA, performance &amp; résilience</x:v>
      </x:c>
      <x:c r="C16" s="12" t="str">
        <x:v>Tests, performance, erreurs, reprise, non-régression</x:v>
      </x:c>
      <x:c r="D16" s="12" t="str">
        <x:v>V1</x:v>
      </x:c>
    </x:row>
    <x:row r="17">
      <x:c r="A17" s="12" t="str">
        <x:v>E16</x:v>
      </x:c>
      <x:c r="B17" s="12" t="str">
        <x:v>Intégrations externes</x:v>
      </x:c>
      <x:c r="C17" s="12" t="str">
        <x:v>SAGE, calendriers externes, connecteurs futurs</x:v>
      </x:c>
      <x:c r="D17" s="12" t="str">
        <x:v>V2</x:v>
      </x:c>
    </x:row>
    <x:row r="18">
      <x:c r="A18" s="12" t="str">
        <x:v>E17</x:v>
      </x:c>
      <x:c r="B18" s="12" t="str">
        <x:v>Optimisation IA avancée</x:v>
      </x:c>
      <x:c r="C18" s="12" t="str">
        <x:v>Placement automatique, capacité prédictive, forecast IA</x:v>
      </x:c>
      <x:c r="D18" s="12" t="str">
        <x:v>V2</x:v>
      </x:c>
    </x:row>
    <x:row r="19">
      <x:c r="A19" s="12" t="str">
        <x:v>E18</x:v>
      </x:c>
      <x:c r="B19" s="12" t="str">
        <x:v>Mobile &amp; mobilité</x:v>
      </x:c>
      <x:c r="C19" s="12" t="str">
        <x:v>Consultation mobile et actions légères</x:v>
      </x:c>
      <x:c r="D19" s="12" t="str">
        <x:v>V3</x:v>
      </x:c>
    </x:row>
  </x:sheetData>
  <x:pageMargins left="0.7" right="0.7" top="0.75" bottom="0.75" header="0.3" footer="0.3"/>
  <x:tableParts count="1">
    <x:tablePart xmlns:r="http://schemas.openxmlformats.org/officeDocument/2006/relationships" r:id="Rd8edea6afc3045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80" hidden="0" customWidth="1"/>
    <x:col min="4" max="4" width="35" hidden="0" customWidth="1"/>
  </x:cols>
  <x:sheetData>
    <x:row r="1" ht="30" customHeight="1">
      <x:c r="A1" s="6" t="str">
        <x:v>Release</x:v>
      </x:c>
      <x:c r="B1" s="6" t="str">
        <x:v>Objectif</x:v>
      </x:c>
      <x:c r="C1" s="6" t="str">
        <x:v>Contenu</x:v>
      </x:c>
      <x:c r="D1" s="6" t="str">
        <x:v>Règle de priorité</x:v>
      </x:c>
    </x:row>
    <x:row r="2">
      <x:c r="A2" s="12" t="str">
        <x:v>V1</x:v>
      </x:c>
      <x:c r="B2" s="12" t="str">
        <x:v>MVP professionnel exploitable</x:v>
      </x:c>
      <x:c r="C2" s="12" t="str">
        <x:v>Socle complet métier: clients/projets, devis, planning graphique, réservations, PLANYBOT contrôlé, devis complémentaires, réalisé, analytics/finance, QA.</x:v>
      </x:c>
      <x:c r="D2" s="12" t="str">
        <x:v>Must + une partie Should structurante</x:v>
      </x:c>
    </x:row>
    <x:row r="3">
      <x:c r="A3" s="12" t="str">
        <x:v>V2</x:v>
      </x:c>
      <x:c r="B3" s="12" t="str">
        <x:v>Optimisation &amp; intégrations</x:v>
      </x:c>
      <x:c r="C3" s="12" t="str">
        <x:v>Actions IA avancées, rapports personnalisés, API/BI enrichie, préparation SAGE, calendriers externes.</x:v>
      </x:c>
      <x:c r="D3" s="12" t="str">
        <x:v>Should/Could</x:v>
      </x:c>
    </x:row>
    <x:row r="4">
      <x:c r="A4" s="12" t="str">
        <x:v>V3</x:v>
      </x:c>
      <x:c r="B4" s="12" t="str">
        <x:v>Extension &amp; mobilité</x:v>
      </x:c>
      <x:c r="C4" s="12" t="str">
        <x:v>Mobile et prédictions IA avancées.</x:v>
      </x:c>
      <x:c r="D4" s="12" t="str">
        <x:v>Could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80" hidden="0" customWidth="1"/>
  </x:cols>
  <x:sheetData>
    <x:row r="1" ht="30" customHeight="1">
      <x:c r="A1" s="6" t="str">
        <x:v>ID</x:v>
      </x:c>
      <x:c r="B1" s="6" t="str">
        <x:v>Critère Definition of Done</x:v>
      </x:c>
      <x:c r="C1" s="6" t="str">
        <x:v>Exigence</x:v>
      </x:c>
    </x:row>
    <x:row r="2">
      <x:c r="A2" s="12" t="str">
        <x:v>DOD-01</x:v>
      </x:c>
      <x:c r="B2" s="12" t="str">
        <x:v>Règle métier documentée</x:v>
      </x:c>
      <x:c r="C2" s="12" t="str">
        <x:v>La règle et ses cas limites sont décrits.</x:v>
      </x:c>
    </x:row>
    <x:row r="3">
      <x:c r="A3" s="12" t="str">
        <x:v>DOD-02</x:v>
      </x:c>
      <x:c r="B3" s="12" t="str">
        <x:v>Frontend implémenté</x:v>
      </x:c>
      <x:c r="C3" s="12" t="str">
        <x:v>UX conforme à la spécification et accessible.</x:v>
      </x:c>
    </x:row>
    <x:row r="4">
      <x:c r="A4" s="12" t="str">
        <x:v>DOD-03</x:v>
      </x:c>
      <x:c r="B4" s="12" t="str">
        <x:v>API implémentée</x:v>
      </x:c>
      <x:c r="C4" s="12" t="str">
        <x:v>Validation serveur et erreurs structurées.</x:v>
      </x:c>
    </x:row>
    <x:row r="5">
      <x:c r="A5" s="12" t="str">
        <x:v>DOD-04</x:v>
      </x:c>
      <x:c r="B5" s="12" t="str">
        <x:v>Persistance</x:v>
      </x:c>
      <x:c r="C5" s="12" t="str">
        <x:v>Données sauvegardées et versionnées si nécessaire.</x:v>
      </x:c>
    </x:row>
    <x:row r="6">
      <x:c r="A6" s="12" t="str">
        <x:v>DOD-05</x:v>
      </x:c>
      <x:c r="B6" s="12" t="str">
        <x:v>Permissions</x:v>
      </x:c>
      <x:c r="C6" s="12" t="str">
        <x:v>Contrôles côté serveur et UI.</x:v>
      </x:c>
    </x:row>
    <x:row r="7">
      <x:c r="A7" s="12" t="str">
        <x:v>DOD-06</x:v>
      </x:c>
      <x:c r="B7" s="12" t="str">
        <x:v>Audit</x:v>
      </x:c>
      <x:c r="C7" s="12" t="str">
        <x:v>Mutation critique historisée.</x:v>
      </x:c>
    </x:row>
    <x:row r="8">
      <x:c r="A8" s="12" t="str">
        <x:v>DOD-07</x:v>
      </x:c>
      <x:c r="B8" s="12" t="str">
        <x:v>Tests unitaires</x:v>
      </x:c>
      <x:c r="C8" s="12" t="str">
        <x:v>Fonctions métier critiques couvertes.</x:v>
      </x:c>
    </x:row>
    <x:row r="9">
      <x:c r="A9" s="12" t="str">
        <x:v>DOD-08</x:v>
      </x:c>
      <x:c r="B9" s="12" t="str">
        <x:v>Tests intégration</x:v>
      </x:c>
      <x:c r="C9" s="12" t="str">
        <x:v>Flux inter-modules validé.</x:v>
      </x:c>
    </x:row>
    <x:row r="10">
      <x:c r="A10" s="12" t="str">
        <x:v>DOD-09</x:v>
      </x:c>
      <x:c r="B10" s="12" t="str">
        <x:v>Tests E2E</x:v>
      </x:c>
      <x:c r="C10" s="12" t="str">
        <x:v>Parcours utilisateur critique validé.</x:v>
      </x:c>
    </x:row>
    <x:row r="11">
      <x:c r="A11" s="12" t="str">
        <x:v>DOD-10</x:v>
      </x:c>
      <x:c r="B11" s="12" t="str">
        <x:v>Performance</x:v>
      </x:c>
      <x:c r="C11" s="12" t="str">
        <x:v>Pas de régression sur dataset cible.</x:v>
      </x:c>
    </x:row>
    <x:row r="12">
      <x:c r="A12" s="12" t="str">
        <x:v>DOD-11</x:v>
      </x:c>
      <x:c r="B12" s="12" t="str">
        <x:v>Gestion erreurs</x:v>
      </x:c>
      <x:c r="C12" s="12" t="str">
        <x:v>Messages actionnables, aucun état incohérent.</x:v>
      </x:c>
    </x:row>
    <x:row r="13">
      <x:c r="A13" s="12" t="str">
        <x:v>DOD-12</x:v>
      </x:c>
      <x:c r="B13" s="12" t="str">
        <x:v>QA validée</x:v>
      </x:c>
      <x:c r="C13" s="12" t="str">
        <x:v>Aucun bug critique/majeur ouvert.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 ht="30" customHeight="1">
      <x:c r="A1" s="6" t="str">
        <x:v>Priorité</x:v>
      </x:c>
      <x:c r="B1" s="6" t="str">
        <x:v>Release</x:v>
      </x:c>
      <x:c r="C1" s="6" t="str">
        <x:v>Statut</x:v>
      </x:c>
      <x:c r="D1" s="6" t="str">
        <x:v>Risque</x:v>
      </x:c>
      <x:c r="E1" s="6" t="str">
        <x:v>Owner</x:v>
      </x:c>
      <x:c r="F1" s="6" t="str">
        <x:v>Type QA</x:v>
      </x:c>
      <x:c r="G1" s="6" t="str">
        <x:v>Sprint</x:v>
      </x:c>
      <x:c r="H1" s="6" t="str">
        <x:v>Epic</x:v>
      </x:c>
    </x:row>
    <x:row r="2">
      <x:c r="A2" t="str">
        <x:v>Must</x:v>
      </x:c>
      <x:c r="B2" t="str">
        <x:v>V1</x:v>
      </x:c>
      <x:c r="C2" t="str">
        <x:v>À faire</x:v>
      </x:c>
      <x:c r="D2" t="str">
        <x:v>Faible</x:v>
      </x:c>
      <x:c r="E2" t="str">
        <x:v>À affecter</x:v>
      </x:c>
      <x:c r="F2" t="str">
        <x:v>Unit</x:v>
      </x:c>
      <x:c r="G2" t="str">
        <x:v>Backlog</x:v>
      </x:c>
      <x:c r="H2" t="str">
        <x:v>E01</x:v>
      </x:c>
    </x:row>
    <x:row r="3">
      <x:c r="A3" t="str">
        <x:v>Should</x:v>
      </x:c>
      <x:c r="B3" t="str">
        <x:v>V2</x:v>
      </x:c>
      <x:c r="C3" t="str">
        <x:v>En cours</x:v>
      </x:c>
      <x:c r="D3" t="str">
        <x:v>Moyen</x:v>
      </x:c>
      <x:c r="E3" t="str">
        <x:v>Frontend</x:v>
      </x:c>
      <x:c r="F3" t="str">
        <x:v>Integration</x:v>
      </x:c>
      <x:c r="G3" t="str">
        <x:v>Sprint 1</x:v>
      </x:c>
      <x:c r="H3" t="str">
        <x:v>E02</x:v>
      </x:c>
    </x:row>
    <x:row r="4">
      <x:c r="A4" t="str">
        <x:v>Could</x:v>
      </x:c>
      <x:c r="B4" t="str">
        <x:v>V3</x:v>
      </x:c>
      <x:c r="C4" t="str">
        <x:v>Bloqué</x:v>
      </x:c>
      <x:c r="D4" t="str">
        <x:v>Élevé</x:v>
      </x:c>
      <x:c r="E4" t="str">
        <x:v>Backend</x:v>
      </x:c>
      <x:c r="F4" t="str">
        <x:v>E2E</x:v>
      </x:c>
      <x:c r="G4" t="str">
        <x:v>Sprint 2</x:v>
      </x:c>
      <x:c r="H4" t="str">
        <x:v>E03</x:v>
      </x:c>
    </x:row>
    <x:row r="5">
      <x:c r="A5" t="str">
        <x:v>Won't</x:v>
      </x:c>
      <x:c r="B5" t="str"/>
      <x:c r="C5" t="str">
        <x:v>En revue</x:v>
      </x:c>
      <x:c r="D5" t="str"/>
      <x:c r="E5" t="str">
        <x:v>Fullstack</x:v>
      </x:c>
      <x:c r="F5" t="str">
        <x:v>Performance</x:v>
      </x:c>
      <x:c r="G5" t="str">
        <x:v>Sprint 3</x:v>
      </x:c>
      <x:c r="H5" t="str">
        <x:v>E04</x:v>
      </x:c>
    </x:row>
    <x:row r="6">
      <x:c r="A6" t="str"/>
      <x:c r="B6" t="str"/>
      <x:c r="C6" t="str">
        <x:v>Terminé</x:v>
      </x:c>
      <x:c r="D6" t="str"/>
      <x:c r="E6" t="str">
        <x:v>QA</x:v>
      </x:c>
      <x:c r="F6" t="str">
        <x:v>AI Eval</x:v>
      </x:c>
      <x:c r="G6" t="str">
        <x:v>Sprint 4</x:v>
      </x:c>
      <x:c r="H6" t="str">
        <x:v>E05</x:v>
      </x:c>
    </x:row>
    <x:row r="7">
      <x:c r="A7" t="str"/>
      <x:c r="B7" t="str"/>
      <x:c r="C7" t="str"/>
      <x:c r="D7" t="str"/>
      <x:c r="E7" t="str">
        <x:v>Data/IA</x:v>
      </x:c>
      <x:c r="F7" t="str">
        <x:v>Contract</x:v>
      </x:c>
      <x:c r="G7" t="str">
        <x:v>Sprint 5</x:v>
      </x:c>
      <x:c r="H7" t="str">
        <x:v>E06</x:v>
      </x:c>
    </x:row>
    <x:row r="8">
      <x:c r="A8" t="str"/>
      <x:c r="B8" t="str"/>
      <x:c r="C8" t="str"/>
      <x:c r="D8" t="str"/>
      <x:c r="E8" t="str">
        <x:v>DevOps</x:v>
      </x:c>
      <x:c r="F8" t="str">
        <x:v>Ops</x:v>
      </x:c>
      <x:c r="G8" t="str">
        <x:v>Sprint 6</x:v>
      </x:c>
      <x:c r="H8" t="str">
        <x:v>E07</x:v>
      </x:c>
    </x:row>
    <x:row r="9">
      <x:c r="A9" t="str"/>
      <x:c r="B9" t="str"/>
      <x:c r="C9" t="str"/>
      <x:c r="D9" t="str"/>
      <x:c r="E9" t="str">
        <x:v>Produit</x:v>
      </x:c>
      <x:c r="F9" t="str">
        <x:v>Resilience</x:v>
      </x:c>
      <x:c r="G9" t="str">
        <x:v>Sprint 7</x:v>
      </x:c>
      <x:c r="H9" t="str">
        <x:v>E08</x:v>
      </x:c>
    </x:row>
    <x:row r="10">
      <x:c r="A10" t="str"/>
      <x:c r="B10" t="str"/>
      <x:c r="C10" t="str"/>
      <x:c r="D10" t="str"/>
      <x:c r="E10" t="str">
        <x:v>Finance</x:v>
      </x:c>
      <x:c r="F10" t="str">
        <x:v>Load</x:v>
      </x:c>
      <x:c r="G10" t="str">
        <x:v>Sprint 8</x:v>
      </x:c>
      <x:c r="H10" t="str">
        <x:v>E09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8" hidden="0" customWidth="1"/>
    <x:col min="4" max="4" width="46" hidden="0" customWidth="1"/>
    <x:col min="5" max="5" width="28" hidden="0" customWidth="1"/>
    <x:col min="6" max="6" width="40" hidden="0" customWidth="1"/>
    <x:col min="7" max="7" width="14" hidden="0" customWidth="1"/>
    <x:col min="8" max="8" width="14" hidden="0" customWidth="1"/>
  </x:cols>
  <x:sheetData>
    <x:row r="1" ht="30" customHeight="1">
      <x:c r="A1" s="40" t="str">
        <x:v>Sprint</x:v>
      </x:c>
      <x:c r="B1" s="40" t="str">
        <x:v>Thème</x:v>
      </x:c>
      <x:c r="C1" s="40" t="str">
        <x:v>Périmètre</x:v>
      </x:c>
      <x:c r="D1" s="40" t="str">
        <x:v>Objectif résultat</x:v>
      </x:c>
      <x:c r="E1" s="40" t="str">
        <x:v>Équipes principales</x:v>
      </x:c>
      <x:c r="F1" s="40" t="str">
        <x:v>Gate de sortie</x:v>
      </x:c>
      <x:c r="G1" s="40" t="str">
        <x:v>Stories V1</x:v>
      </x:c>
      <x:c r="H1" s="40" t="str">
        <x:v>Points V1</x:v>
      </x:c>
    </x:row>
    <x:row r="2">
      <x:c r="A2" s="14" t="str">
        <x:v>Sprint 0</x:v>
      </x:c>
      <x:c r="B2" s="14" t="str">
        <x:v>Fondations</x:v>
      </x:c>
      <x:c r="C2" s="14" t="str">
        <x:v>Architecture, API, audit, événements, RBAC et conventions techniques.</x:v>
      </x:c>
      <x:c r="D2" s="14" t="str">
        <x:v>Obtenir un socle figé avant les écrans métier.</x:v>
      </x:c>
      <x:c r="E2" s="14" t="str">
        <x:v>Lead/Backend/DevOps/QA</x:v>
      </x:c>
      <x:c r="F2" s="14" t="str">
        <x:v>Architecture + contrat API validés</x:v>
      </x:c>
      <x:c r="G2" s="14" t="n">
        <x:f>COUNTIFS(Backlog!$G$2:$G$126,"V1",Backlog!$O$2:$O$126,"Sprint 0")</x:f>
        <x:v>8</x:v>
      </x:c>
      <x:c r="H2" s="14" t="n">
        <x:f>SUMIFS(Backlog!$H$2:$H$126,Backlog!$G$2:$G$126,"V1",Backlog!$O$2:$O$126,"Sprint 0")</x:f>
        <x:v>55</x:v>
      </x:c>
    </x:row>
    <x:row r="3">
      <x:c r="A3" s="14" t="str">
        <x:v>Sprint 1</x:v>
      </x:c>
      <x:c r="B3" s="14" t="str">
        <x:v>Données métier &amp; analytics foundation</x:v>
      </x:c>
      <x:c r="C3" s="14" t="str">
        <x:v>Clients, projets, prestations, tarifs, modèle analytique et définitions CA.</x:v>
      </x:c>
      <x:c r="D3" s="14" t="str">
        <x:v>Créer les sources de vérité métier et les dimensions Finance.</x:v>
      </x:c>
      <x:c r="E3" s="14" t="str">
        <x:v>Backend/Data/Finance/QA</x:v>
      </x:c>
      <x:c r="F3" s="14" t="str">
        <x:v>Données métier stables + règles tarifaires testées</x:v>
      </x:c>
      <x:c r="G3" s="14" t="n">
        <x:f>COUNTIFS(Backlog!$G$2:$G$126,"V1",Backlog!$O$2:$O$126,"Sprint 1")</x:f>
        <x:v>12</x:v>
      </x:c>
      <x:c r="H3" s="14" t="n">
        <x:f>SUMIFS(Backlog!$H$2:$H$126,Backlog!$G$2:$G$126,"V1",Backlog!$O$2:$O$126,"Sprint 1")</x:f>
        <x:v>75</x:v>
      </x:c>
    </x:row>
    <x:row r="4">
      <x:c r="A4" s="14" t="str">
        <x:v>Sprint 2</x:v>
      </x:c>
      <x:c r="B4" s="14" t="str">
        <x:v>Commercial &amp; noyau planning</x:v>
      </x:c>
      <x:c r="C4" s="14" t="str">
        <x:v>Budget/devis, ressources, viewport planning, virtualisation et design clair.</x:v>
      </x:c>
      <x:c r="D4" s="14" t="str">
        <x:v>Faire fonctionner un devis validé et un planning performant minimal.</x:v>
      </x:c>
      <x:c r="E4" s="14" t="str">
        <x:v>Fullstack/Frontend/Backend/QA</x:v>
      </x:c>
      <x:c r="F4" s="14" t="str">
        <x:v>Devis accepté + planning charge 250 ressources</x:v>
      </x:c>
      <x:c r="G4" s="14" t="n">
        <x:f>COUNTIFS(Backlog!$G$2:$G$126,"V1",Backlog!$O$2:$O$126,"Sprint 2")</x:f>
        <x:v>14</x:v>
      </x:c>
      <x:c r="H4" s="14" t="n">
        <x:f>SUMIFS(Backlog!$H$2:$H$126,Backlog!$G$2:$G$126,"V1",Backlog!$O$2:$O$126,"Sprint 2")</x:f>
        <x:v>96</x:v>
      </x:c>
    </x:row>
    <x:row r="5">
      <x:c r="A5" s="14" t="str">
        <x:v>Sprint 3</x:v>
      </x:c>
      <x:c r="B5" s="14" t="str">
        <x:v>Interactions Planning</x:v>
      </x:c>
      <x:c r="C5" s="14" t="str">
        <x:v>Jour/semaine/6 sem./mois/3 mois, navigation, création, drag/drop, resize, temps, WE.</x:v>
      </x:c>
      <x:c r="D5" s="14" t="str">
        <x:v>Obtenir le premier planning réellement manipulable.</x:v>
      </x:c>
      <x:c r="E5" s="14" t="str">
        <x:v>Frontend/Backend/QA</x:v>
      </x:c>
      <x:c r="F5" s="14" t="str">
        <x:v>Création/déplacement/resize sans incohérence</x:v>
      </x:c>
      <x:c r="G5" s="14" t="n">
        <x:f>COUNTIFS(Backlog!$G$2:$G$126,"V1",Backlog!$O$2:$O$126,"Sprint 3")</x:f>
        <x:v>16</x:v>
      </x:c>
      <x:c r="H5" s="14" t="n">
        <x:f>SUMIFS(Backlog!$H$2:$H$126,Backlog!$G$2:$G$126,"V1",Backlog!$O$2:$O$126,"Sprint 3")</x:f>
        <x:v>108</x:v>
      </x:c>
    </x:row>
    <x:row r="6">
      <x:c r="A6" s="14" t="str">
        <x:v>Sprint 4</x:v>
      </x:c>
      <x:c r="B6" s="14" t="str">
        <x:v>Planning ↔ Devis</x:v>
      </x:c>
      <x:c r="C6" s="14" t="str">
        <x:v>Copier/coller, multi-sélection, undo/redo, consumption engine, compléments automatiques.</x:v>
      </x:c>
      <x:c r="D6" s="14" t="str">
        <x:v>Assurer la continuité vendu → planifié → dépassement.</x:v>
      </x:c>
      <x:c r="E6" s="14" t="str">
        <x:v>Fullstack/Backend/QA</x:v>
      </x:c>
      <x:c r="F6" s="14" t="str">
        <x:v>Dépassement produit exactement un complément</x:v>
      </x:c>
      <x:c r="G6" s="14" t="n">
        <x:f>COUNTIFS(Backlog!$G$2:$G$126,"V1",Backlog!$O$2:$O$126,"Sprint 4")</x:f>
        <x:v>14</x:v>
      </x:c>
      <x:c r="H6" s="14" t="n">
        <x:f>SUMIFS(Backlog!$H$2:$H$126,Backlog!$G$2:$G$126,"V1",Backlog!$O$2:$O$126,"Sprint 4")</x:f>
        <x:v>108</x:v>
      </x:c>
    </x:row>
    <x:row r="7">
      <x:c r="A7" s="14" t="str">
        <x:v>Sprint 5</x:v>
      </x:c>
      <x:c r="B7" s="14" t="str">
        <x:v>Ressources avancées &amp; temps réel</x:v>
      </x:c>
      <x:c r="C7" s="14" t="str">
        <x:v>Double option, ressource générique, compétences, WebSocket, présence et concurrence.</x:v>
      </x:c>
      <x:c r="D7" s="14" t="str">
        <x:v>Rendre le planning exploitable par plusieurs opérateurs.</x:v>
      </x:c>
      <x:c r="E7" s="14" t="str">
        <x:v>Backend/Fullstack/QA</x:v>
      </x:c>
      <x:c r="F7" s="14" t="str">
        <x:v>3 planificateurs simultanés sans perte</x:v>
      </x:c>
      <x:c r="G7" s="14" t="n">
        <x:f>COUNTIFS(Backlog!$G$2:$G$126,"V1",Backlog!$O$2:$O$126,"Sprint 5")</x:f>
        <x:v>8</x:v>
      </x:c>
      <x:c r="H7" s="14" t="n">
        <x:f>SUMIFS(Backlog!$H$2:$H$126,Backlog!$G$2:$G$126,"V1",Backlog!$O$2:$O$126,"Sprint 5")</x:f>
        <x:v>65</x:v>
      </x:c>
    </x:row>
    <x:row r="8">
      <x:c r="A8" s="14" t="str">
        <x:v>Sprint 6</x:v>
      </x:c>
      <x:c r="B8" s="14" t="str">
        <x:v>PLANYBOT &amp; import Excel</x:v>
      </x:c>
      <x:c r="C8" s="14" t="str">
        <x:v>Panneau, dialogue, recommandations, actions validées, analyse Excel et audit IA.</x:v>
      </x:c>
      <x:c r="D8" s="14" t="str">
        <x:v>Ajouter l’assistance intelligente sans rendre l’IA source de vérité.</x:v>
      </x:c>
      <x:c r="E8" s="14" t="str">
        <x:v>Data/IA/Backend/QA</x:v>
      </x:c>
      <x:c r="F8" s="14" t="str">
        <x:v>IA propose, humain confirme, moteur exécute</x:v>
      </x:c>
      <x:c r="G8" s="14" t="n">
        <x:f>COUNTIFS(Backlog!$G$2:$G$126,"V1",Backlog!$O$2:$O$126,"Sprint 6")</x:f>
        <x:v>7</x:v>
      </x:c>
      <x:c r="H8" s="14" t="n">
        <x:f>SUMIFS(Backlog!$H$2:$H$126,Backlog!$G$2:$G$126,"V1",Backlog!$O$2:$O$126,"Sprint 6")</x:f>
        <x:v>68</x:v>
      </x:c>
    </x:row>
    <x:row r="9">
      <x:c r="A9" s="14" t="str">
        <x:v>Sprint 7</x:v>
      </x:c>
      <x:c r="B9" s="14" t="str">
        <x:v>Réalisé &amp; Finance Engine</x:v>
      </x:c>
      <x:c r="C9" s="14" t="str">
        <x:v>Validation du réalisé, coûts, marges, occupation, backlog, forecast, rentabilité.</x:v>
      </x:c>
      <x:c r="D9" s="14" t="str">
        <x:v>Transformer les données opérationnelles en données Finance fiables.</x:v>
      </x:c>
      <x:c r="E9" s="14" t="str">
        <x:v>Backend/Data/Finance/QA</x:v>
      </x:c>
      <x:c r="F9" s="14" t="str">
        <x:v>Prévu/planifié/réalisé/facturable cohérents</x:v>
      </x:c>
      <x:c r="G9" s="14" t="n">
        <x:f>COUNTIFS(Backlog!$G$2:$G$126,"V1",Backlog!$O$2:$O$126,"Sprint 7")</x:f>
        <x:v>15</x:v>
      </x:c>
      <x:c r="H9" s="14" t="n">
        <x:f>SUMIFS(Backlog!$H$2:$H$126,Backlog!$G$2:$G$126,"V1",Backlog!$O$2:$O$126,"Sprint 7")</x:f>
        <x:v>127</x:v>
      </x:c>
    </x:row>
    <x:row r="10">
      <x:c r="A10" s="14" t="str">
        <x:v>Sprint 8</x:v>
      </x:c>
      <x:c r="B10" s="14" t="str">
        <x:v>Dashboards, exports &amp; sécurité finale</x:v>
      </x:c>
      <x:c r="C10" s="14" t="str">
        <x:v>Dashboards métier, Excel/PDF/BI, permissions coûts/marges, drill-down.</x:v>
      </x:c>
      <x:c r="D10" s="14" t="str">
        <x:v>Livrer l’outil de pilotage Direction/Finance/Planning/Commercial.</x:v>
      </x:c>
      <x:c r="E10" s="14" t="str">
        <x:v>Fullstack/Data/Finance/QA</x:v>
      </x:c>
      <x:c r="F10" s="14" t="str">
        <x:v>KPI auditables + exports cohérents</x:v>
      </x:c>
      <x:c r="G10" s="14" t="n">
        <x:f>COUNTIFS(Backlog!$G$2:$G$126,"V1",Backlog!$O$2:$O$126,"Sprint 8")</x:f>
        <x:v>12</x:v>
      </x:c>
      <x:c r="H10" s="14" t="n">
        <x:f>SUMIFS(Backlog!$H$2:$H$126,Backlog!$G$2:$G$126,"V1",Backlog!$O$2:$O$126,"Sprint 8")</x:f>
        <x:v>86</x:v>
      </x:c>
    </x:row>
    <x:row r="11">
      <x:c r="A11" s="14" t="str">
        <x:v>Sprint 9</x:v>
      </x:c>
      <x:c r="B11" s="14" t="str">
        <x:v>Hardening &amp; Release Candidate</x:v>
      </x:c>
      <x:c r="C11" s="14" t="str">
        <x:v>Non-régression, performance, résilience, navigateurs, accessibilité, E2E.</x:v>
      </x:c>
      <x:c r="D11" s="14" t="str">
        <x:v>Ne livrer que lorsque la V1 satisfait la DoD et les gates.</x:v>
      </x:c>
      <x:c r="E11" s="14" t="str">
        <x:v>QA/DevOps/Toute équipe</x:v>
      </x:c>
      <x:c r="F11" s="14" t="str">
        <x:v>RC sans bug critique/majeur ouvert</x:v>
      </x:c>
      <x:c r="G11" s="14" t="n">
        <x:f>COUNTIFS(Backlog!$G$2:$G$126,"V1",Backlog!$O$2:$O$126,"Sprint 9")</x:f>
        <x:v>9</x:v>
      </x:c>
      <x:c r="H11" s="14" t="n">
        <x:f>SUMIFS(Backlog!$H$2:$H$126,Backlog!$G$2:$G$126,"V1",Backlog!$O$2:$O$126,"Sprint 9")</x:f>
        <x:v>71</x:v>
      </x:c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7">
      <x:c r="A17" s="14"/>
      <x:c r="B17" s="14"/>
      <x:c r="C17" s="14"/>
      <x:c r="D17" s="14"/>
      <x:c r="E17" s="14"/>
      <x:c r="F17" s="14"/>
      <x:c r="G17" s="14"/>
      <x:c r="H17" s="14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  <x:row r="21">
      <x:c r="A21" s="14"/>
      <x:c r="B21" s="14"/>
      <x:c r="C21" s="14"/>
      <x:c r="D21" s="14"/>
      <x:c r="E21" s="14"/>
      <x:c r="F21" s="14"/>
      <x:c r="G21" s="14"/>
      <x:c r="H21" s="14"/>
    </x:row>
    <x:row r="22">
      <x:c r="A22" s="14"/>
      <x:c r="B22" s="14"/>
      <x:c r="C22" s="14"/>
      <x:c r="D22" s="14"/>
      <x:c r="E22" s="14"/>
      <x:c r="F22" s="14"/>
      <x:c r="G22" s="14"/>
      <x:c r="H22" s="14"/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4">
      <x:c r="A24" s="14"/>
      <x:c r="B24" s="14"/>
      <x:c r="C24" s="14"/>
      <x:c r="D24" s="14"/>
      <x:c r="E24" s="14"/>
      <x:c r="F24" s="14"/>
      <x:c r="G24" s="14"/>
      <x:c r="H24" s="14"/>
    </x:row>
    <x:row r="25">
      <x:c r="A25" s="14"/>
      <x:c r="B25" s="14"/>
      <x:c r="C25" s="14"/>
      <x:c r="D25" s="14"/>
      <x:c r="E25" s="14"/>
      <x:c r="F25" s="14"/>
      <x:c r="G25" s="14"/>
      <x:c r="H25" s="14"/>
    </x:row>
    <x:row r="26">
      <x:c r="A26" s="14"/>
      <x:c r="B26" s="14"/>
      <x:c r="C26" s="14"/>
      <x:c r="D26" s="14"/>
      <x:c r="E26" s="14"/>
      <x:c r="F26" s="14"/>
      <x:c r="G26" s="14"/>
      <x:c r="H26" s="14"/>
    </x:row>
    <x:row r="27">
      <x:c r="A27" s="14"/>
      <x:c r="B27" s="14"/>
      <x:c r="C27" s="14"/>
      <x:c r="D27" s="14"/>
      <x:c r="E27" s="14"/>
      <x:c r="F27" s="14"/>
      <x:c r="G27" s="14"/>
      <x:c r="H27" s="14"/>
    </x:row>
    <x:row r="28">
      <x:c r="A28" s="14"/>
      <x:c r="B28" s="14"/>
      <x:c r="C28" s="14"/>
      <x:c r="D28" s="14"/>
      <x:c r="E28" s="14"/>
      <x:c r="F28" s="14"/>
      <x:c r="G28" s="14"/>
      <x:c r="H28" s="14"/>
    </x:row>
    <x:row r="29">
      <x:c r="A29" s="14"/>
      <x:c r="B29" s="14"/>
      <x:c r="C29" s="14"/>
      <x:c r="D29" s="14"/>
      <x:c r="E29" s="14"/>
      <x:c r="F29" s="14"/>
      <x:c r="G29" s="14"/>
      <x:c r="H29" s="14"/>
    </x:row>
    <x:row r="30">
      <x:c r="A30" s="14"/>
      <x:c r="B30" s="14"/>
      <x:c r="C30" s="14"/>
      <x:c r="D30" s="14"/>
      <x:c r="E30" s="14"/>
      <x:c r="F30" s="14"/>
      <x:c r="G30" s="14"/>
      <x:c r="H30" s="14"/>
    </x:row>
  </x:sheetData>
  <x:pageMargins left="0.7" right="0.7" top="0.75" bottom="0.75" header="0.3" footer="0.3"/>
  <x:tableParts count="1">
    <x:tablePart xmlns:r="http://schemas.openxmlformats.org/officeDocument/2006/relationships" r:id="Rffe91d1c3fe24d8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  <x:col min="3" max="3" width="20" hidden="0" customWidth="1"/>
    <x:col min="4" max="4" width="65" hidden="0" customWidth="1"/>
  </x:cols>
  <x:sheetData>
    <x:row r="1" ht="30" customHeight="1">
      <x:c r="A1" s="40" t="str">
        <x:v>Rôle</x:v>
      </x:c>
      <x:c r="B1" s="40" t="str">
        <x:v>Responsabilités</x:v>
      </x:c>
      <x:c r="C1" s="40" t="str">
        <x:v>Présence</x:v>
      </x:c>
      <x:c r="D1" s="40" t="str">
        <x:v>Règle</x:v>
      </x:c>
    </x:row>
    <x:row r="2">
      <x:c r="A2" s="14" t="str">
        <x:v>Lead Developer / Architecte</x:v>
      </x:c>
      <x:c r="B2" s="14" t="str">
        <x:v>Architecture, décisions techniques, revue contrats, intégration globale</x:v>
      </x:c>
      <x:c r="C2" s="14" t="str">
        <x:v>Sprint 0 à 9</x:v>
      </x:c>
      <x:c r="D2" s="14" t="str">
        <x:v>Doit arbitrer les divergences avec le dossier maître, jamais inventer une règle métier.</x:v>
      </x:c>
    </x:row>
    <x:row r="3">
      <x:c r="A3" s="14" t="str">
        <x:v>Backend</x:v>
      </x:c>
      <x:c r="B3" s="14" t="str">
        <x:v>API, règles métier, moteurs Scheduling/QuoteConsumption, concurrence, sécurité</x:v>
      </x:c>
      <x:c r="C3" s="14" t="str">
        <x:v>Sprint 0 à 9</x:v>
      </x:c>
      <x:c r="D3" s="14" t="str">
        <x:v>Source de vérité des calculs métier.</x:v>
      </x:c>
    </x:row>
    <x:row r="4">
      <x:c r="A4" s="14" t="str">
        <x:v>Frontend Planning</x:v>
      </x:c>
      <x:c r="B4" s="14" t="str">
        <x:v>Viewport, virtualisation, interactions graphiques, UX planning</x:v>
      </x:c>
      <x:c r="C4" s="14" t="str">
        <x:v>Sprint 2 à 9</x:v>
      </x:c>
      <x:c r="D4" s="14" t="str">
        <x:v>Optimistic UI mais aucune règle métier financière locale.</x:v>
      </x:c>
    </x:row>
    <x:row r="5">
      <x:c r="A5" s="14" t="str">
        <x:v>Fullstack</x:v>
      </x:c>
      <x:c r="B5" s="14" t="str">
        <x:v>Budget/devis, dashboards, intégration UI/API, exports</x:v>
      </x:c>
      <x:c r="C5" s="14" t="str">
        <x:v>Sprint 2 à 9</x:v>
      </x:c>
      <x:c r="D5" s="14" t="str">
        <x:v>Responsable des flux inter-modules.</x:v>
      </x:c>
    </x:row>
    <x:row r="6">
      <x:c r="A6" s="14" t="str">
        <x:v>Data / IA</x:v>
      </x:c>
      <x:c r="B6" s="14" t="str">
        <x:v>PLANYBOT, import Excel, modèle analytique, forecast</x:v>
      </x:c>
      <x:c r="C6" s="14" t="str">
        <x:v>Sprint 1, 6 à 9</x:v>
      </x:c>
      <x:c r="D6" s="14" t="str">
        <x:v>IA assistante; calcul déterministe hors LLM.</x:v>
      </x:c>
    </x:row>
    <x:row r="7">
      <x:c r="A7" s="14" t="str">
        <x:v>QA</x:v>
      </x:c>
      <x:c r="B7" s="14" t="str">
        <x:v>Tests dès Sprint 0, automation, E2E, performance, non-régression</x:v>
      </x:c>
      <x:c r="C7" s="14" t="str">
        <x:v>Sprint 0 à 9</x:v>
      </x:c>
      <x:c r="D7" s="14" t="str">
        <x:v>Aucune story terminée sans critères d’acceptation validés.</x:v>
      </x:c>
    </x:row>
    <x:row r="8">
      <x:c r="A8" s="14" t="str">
        <x:v>DevOps</x:v>
      </x:c>
      <x:c r="B8" s="14" t="str">
        <x:v>CI/CD, observabilité, environnements, WebSocket infra, monitoring</x:v>
      </x:c>
      <x:c r="C8" s="14" t="str">
        <x:v>Sprint 0, 5, 9</x:v>
      </x:c>
      <x:c r="D8" s="14" t="str">
        <x:v>Environnements reproductibles et rollback de release.</x:v>
      </x:c>
    </x:row>
    <x:row r="9">
      <x:c r="A9" s="14" t="str">
        <x:v>Référent Finance</x:v>
      </x:c>
      <x:c r="B9" s="14" t="str">
        <x:v>Définitions KPI, coûts, marges, validation analytics</x:v>
      </x:c>
      <x:c r="C9" s="14" t="str">
        <x:v>Sprint 1, 7, 8</x:v>
      </x:c>
      <x:c r="D9" s="14" t="str">
        <x:v>Valide les chiffres avant gate Finance.</x:v>
      </x:c>
    </x:row>
    <x:row r="10">
      <x:c r="A10" s="14" t="str">
        <x:v>Product Owner métier</x:v>
      </x:c>
      <x:c r="B10" s="14" t="str">
        <x:v>Arbitrage fonctionnel, validation parcours Planning/Devis/PLANYBOT</x:v>
      </x:c>
      <x:c r="C10" s="14" t="str">
        <x:v>Sprint 0 à 9</x:v>
      </x:c>
      <x:c r="D10" s="14" t="str">
        <x:v>Toute ambiguïté métier remonte au PO; pas de supposition développeur.</x:v>
      </x:c>
    </x:row>
    <x:row r="11">
      <x:c r="A11" s="14"/>
      <x:c r="B11" s="14"/>
      <x:c r="C11" s="14"/>
      <x:c r="D11" s="14"/>
    </x:row>
    <x:row r="12">
      <x:c r="A12" s="14"/>
      <x:c r="B12" s="14"/>
      <x:c r="C12" s="14"/>
      <x:c r="D12" s="14"/>
    </x:row>
    <x:row r="13">
      <x:c r="A13" s="14"/>
      <x:c r="B13" s="14"/>
      <x:c r="C13" s="14"/>
      <x:c r="D13" s="14"/>
    </x:row>
    <x:row r="14">
      <x:c r="A14" s="14"/>
      <x:c r="B14" s="14"/>
      <x:c r="C14" s="14"/>
      <x:c r="D14" s="14"/>
    </x:row>
    <x:row r="15">
      <x:c r="A15" s="14"/>
      <x:c r="B15" s="14"/>
      <x:c r="C15" s="14"/>
      <x:c r="D15" s="14"/>
    </x:row>
    <x:row r="16">
      <x:c r="A16" s="14"/>
      <x:c r="B16" s="14"/>
      <x:c r="C16" s="14"/>
      <x:c r="D16" s="14"/>
    </x:row>
    <x:row r="17">
      <x:c r="A17" s="14"/>
      <x:c r="B17" s="14"/>
      <x:c r="C17" s="14"/>
      <x:c r="D17" s="14"/>
    </x:row>
    <x:row r="18">
      <x:c r="A18" s="14"/>
      <x:c r="B18" s="14"/>
      <x:c r="C18" s="14"/>
      <x:c r="D18" s="14"/>
    </x:row>
    <x:row r="19">
      <x:c r="A19" s="14"/>
      <x:c r="B19" s="14"/>
      <x:c r="C19" s="14"/>
      <x:c r="D19" s="14"/>
    </x:row>
    <x:row r="20">
      <x:c r="A20" s="14"/>
      <x:c r="B20" s="14"/>
      <x:c r="C20" s="14"/>
      <x:c r="D20" s="14"/>
    </x:row>
    <x:row r="21">
      <x:c r="A21" s="14"/>
      <x:c r="B21" s="14"/>
      <x:c r="C21" s="14"/>
      <x:c r="D21" s="14"/>
    </x:row>
    <x:row r="22">
      <x:c r="A22" s="14"/>
      <x:c r="B22" s="14"/>
      <x:c r="C22" s="14"/>
      <x:c r="D22" s="14"/>
    </x:row>
    <x:row r="23">
      <x:c r="A23" s="14"/>
      <x:c r="B23" s="14"/>
      <x:c r="C23" s="14"/>
      <x:c r="D23" s="14"/>
    </x:row>
    <x:row r="24">
      <x:c r="A24" s="14"/>
      <x:c r="B24" s="14"/>
      <x:c r="C24" s="14"/>
      <x:c r="D24" s="14"/>
    </x:row>
    <x:row r="25">
      <x:c r="A25" s="14"/>
      <x:c r="B25" s="14"/>
      <x:c r="C25" s="14"/>
      <x:c r="D25" s="14"/>
    </x:row>
    <x:row r="26">
      <x:c r="A26" s="14"/>
      <x:c r="B26" s="14"/>
      <x:c r="C26" s="14"/>
      <x:c r="D26" s="14"/>
    </x:row>
    <x:row r="27">
      <x:c r="A27" s="14"/>
      <x:c r="B27" s="14"/>
      <x:c r="C27" s="14"/>
      <x:c r="D27" s="14"/>
    </x:row>
    <x:row r="28">
      <x:c r="A28" s="14"/>
      <x:c r="B28" s="14"/>
      <x:c r="C28" s="14"/>
      <x:c r="D28" s="14"/>
    </x:row>
    <x:row r="29">
      <x:c r="A29" s="14"/>
      <x:c r="B29" s="14"/>
      <x:c r="C29" s="14"/>
      <x:c r="D29" s="14"/>
    </x:row>
    <x:row r="30">
      <x:c r="A30" s="14"/>
      <x:c r="B30" s="14"/>
      <x:c r="C30" s="14"/>
      <x:c r="D30" s="14"/>
    </x:row>
  </x:sheetData>
  <x:pageMargins left="0.7" right="0.7" top="0.75" bottom="0.75" header="0.3" footer="0.3"/>
  <x:tableParts count="1">
    <x:tablePart xmlns:r="http://schemas.openxmlformats.org/officeDocument/2006/relationships" r:id="R51caf1706a07486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85" hidden="0" customWidth="1"/>
    <x:col min="5" max="5" width="14" hidden="0" customWidth="1"/>
  </x:cols>
  <x:sheetData>
    <x:row r="1" ht="30" customHeight="1">
      <x:c r="A1" s="40" t="str">
        <x:v>Gate</x:v>
      </x:c>
      <x:c r="B1" s="40" t="str">
        <x:v>Nom</x:v>
      </x:c>
      <x:c r="C1" s="40" t="str">
        <x:v>Après</x:v>
      </x:c>
      <x:c r="D1" s="40" t="str">
        <x:v>Critère de passage</x:v>
      </x:c>
      <x:c r="E1" s="40" t="str">
        <x:v>Type</x:v>
      </x:c>
    </x:row>
    <x:row r="2">
      <x:c r="A2" s="14" t="str">
        <x:v>G0</x:v>
      </x:c>
      <x:c r="B2" s="14" t="str">
        <x:v>Architecture figée</x:v>
      </x:c>
      <x:c r="C2" s="14" t="str">
        <x:v>Sprint 0</x:v>
      </x:c>
      <x:c r="D2" s="14" t="str">
        <x:v>OpenAPI, ADR, RBAC, audit, événements, convention temps/idempotence validés.</x:v>
      </x:c>
      <x:c r="E2" s="14" t="str">
        <x:v>Bloquant</x:v>
      </x:c>
    </x:row>
    <x:row r="3">
      <x:c r="A3" s="14" t="str">
        <x:v>G1</x:v>
      </x:c>
      <x:c r="B3" s="14" t="str">
        <x:v>Données métier fiables</x:v>
      </x:c>
      <x:c r="C3" s="14" t="str">
        <x:v>Sprint 1</x:v>
      </x:c>
      <x:c r="D3" s="14" t="str">
        <x:v>Clients/projets/prestations/tarifs + modèle analytique validés.</x:v>
      </x:c>
      <x:c r="E3" s="14" t="str">
        <x:v>Bloquant</x:v>
      </x:c>
    </x:row>
    <x:row r="4">
      <x:c r="A4" s="14" t="str">
        <x:v>G2</x:v>
      </x:c>
      <x:c r="B4" s="14" t="str">
        <x:v>Planning kernel performant</x:v>
      </x:c>
      <x:c r="C4" s="14" t="str">
        <x:v>Sprint 2</x:v>
      </x:c>
      <x:c r="D4" s="14" t="str">
        <x:v>Viewport virtualisé sur dataset cible et devis accepté exploitable.</x:v>
      </x:c>
      <x:c r="E4" s="14" t="str">
        <x:v>Bloquant</x:v>
      </x:c>
    </x:row>
    <x:row r="5">
      <x:c r="A5" s="14" t="str">
        <x:v>G3</x:v>
      </x:c>
      <x:c r="B5" s="14" t="str">
        <x:v>Planning manipulable</x:v>
      </x:c>
      <x:c r="C5" s="14" t="str">
        <x:v>Sprint 3</x:v>
      </x:c>
      <x:c r="D5" s="14" t="str">
        <x:v>Créer/déplacer/étirer/naviguer/WE sans incohérence.</x:v>
      </x:c>
      <x:c r="E5" s="14" t="str">
        <x:v>Bloquant</x:v>
      </x:c>
    </x:row>
    <x:row r="6">
      <x:c r="A6" s="14" t="str">
        <x:v>G4</x:v>
      </x:c>
      <x:c r="B6" s="14" t="str">
        <x:v>Continuité commerciale</x:v>
      </x:c>
      <x:c r="C6" s="14" t="str">
        <x:v>Sprint 4</x:v>
      </x:c>
      <x:c r="D6" s="14" t="str">
        <x:v>Vendu ↔ planifié ↔ dépassement ↔ complément exact et transactionnel.</x:v>
      </x:c>
      <x:c r="E6" s="14" t="str">
        <x:v>Bloquant</x:v>
      </x:c>
    </x:row>
    <x:row r="7">
      <x:c r="A7" s="14" t="str">
        <x:v>G5</x:v>
      </x:c>
      <x:c r="B7" s="14" t="str">
        <x:v>Multi-user fiable</x:v>
      </x:c>
      <x:c r="C7" s="14" t="str">
        <x:v>Sprint 5</x:v>
      </x:c>
      <x:c r="D7" s="14" t="str">
        <x:v>3 opérateurs simultanés; aucune perte/écrasement silencieux.</x:v>
      </x:c>
      <x:c r="E7" s="14" t="str">
        <x:v>Bloquant</x:v>
      </x:c>
    </x:row>
    <x:row r="8">
      <x:c r="A8" s="14" t="str">
        <x:v>G6</x:v>
      </x:c>
      <x:c r="B8" s="14" t="str">
        <x:v>PLANYBOT contrôlé</x:v>
      </x:c>
      <x:c r="C8" s="14" t="str">
        <x:v>Sprint 6</x:v>
      </x:c>
      <x:c r="D8" s="14" t="str">
        <x:v>Aucune action IA silencieuse; preview + confirmation + audit.</x:v>
      </x:c>
      <x:c r="E8" s="14" t="str">
        <x:v>Bloquant</x:v>
      </x:c>
    </x:row>
    <x:row r="9">
      <x:c r="A9" s="14" t="str">
        <x:v>G7</x:v>
      </x:c>
      <x:c r="B9" s="14" t="str">
        <x:v>Finance fiable</x:v>
      </x:c>
      <x:c r="C9" s="14" t="str">
        <x:v>Sprint 7</x:v>
      </x:c>
      <x:c r="D9" s="14" t="str">
        <x:v>Planifié/réalisé/coût/marge/backlog/forecast réconciliés.</x:v>
      </x:c>
      <x:c r="E9" s="14" t="str">
        <x:v>Bloquant</x:v>
      </x:c>
    </x:row>
    <x:row r="10">
      <x:c r="A10" s="14" t="str">
        <x:v>G8</x:v>
      </x:c>
      <x:c r="B10" s="14" t="str">
        <x:v>Pilotage complet</x:v>
      </x:c>
      <x:c r="C10" s="14" t="str">
        <x:v>Sprint 8</x:v>
      </x:c>
      <x:c r="D10" s="14" t="str">
        <x:v>Dashboards et exports reconciliables au détail.</x:v>
      </x:c>
      <x:c r="E10" s="14" t="str">
        <x:v>Bloquant</x:v>
      </x:c>
    </x:row>
    <x:row r="11">
      <x:c r="A11" s="14" t="str">
        <x:v>G9</x:v>
      </x:c>
      <x:c r="B11" s="14" t="str">
        <x:v>Release Candidate</x:v>
      </x:c>
      <x:c r="C11" s="14" t="str">
        <x:v>Sprint 9</x:v>
      </x:c>
      <x:c r="D11" s="14" t="str">
        <x:v>0 bug critique/majeur, performance cible, E2E verts, rollback testé.</x:v>
      </x:c>
      <x:c r="E11" s="14" t="str">
        <x:v>Release</x:v>
      </x:c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  <x:row r="21">
      <x:c r="A21" s="14"/>
      <x:c r="B21" s="14"/>
      <x:c r="C21" s="14"/>
      <x:c r="D21" s="14"/>
      <x:c r="E21" s="14"/>
    </x:row>
    <x:row r="22">
      <x:c r="A22" s="14"/>
      <x:c r="B22" s="14"/>
      <x:c r="C22" s="14"/>
      <x:c r="D22" s="14"/>
      <x:c r="E22" s="14"/>
    </x:row>
    <x:row r="23">
      <x:c r="A23" s="14"/>
      <x:c r="B23" s="14"/>
      <x:c r="C23" s="14"/>
      <x:c r="D23" s="14"/>
      <x:c r="E23" s="14"/>
    </x:row>
    <x:row r="24">
      <x:c r="A24" s="14"/>
      <x:c r="B24" s="14"/>
      <x:c r="C24" s="14"/>
      <x:c r="D24" s="14"/>
      <x:c r="E24" s="14"/>
    </x:row>
    <x:row r="25">
      <x:c r="A25" s="14"/>
      <x:c r="B25" s="14"/>
      <x:c r="C25" s="14"/>
      <x:c r="D25" s="14"/>
      <x:c r="E25" s="14"/>
    </x:row>
    <x:row r="26">
      <x:c r="A26" s="14"/>
      <x:c r="B26" s="14"/>
      <x:c r="C26" s="14"/>
      <x:c r="D26" s="14"/>
      <x:c r="E26" s="14"/>
    </x:row>
    <x:row r="27">
      <x:c r="A27" s="14"/>
      <x:c r="B27" s="14"/>
      <x:c r="C27" s="14"/>
      <x:c r="D27" s="14"/>
      <x:c r="E27" s="14"/>
    </x:row>
    <x:row r="28">
      <x:c r="A28" s="14"/>
      <x:c r="B28" s="14"/>
      <x:c r="C28" s="14"/>
      <x:c r="D28" s="14"/>
      <x:c r="E28" s="14"/>
    </x:row>
    <x:row r="29">
      <x:c r="A29" s="14"/>
      <x:c r="B29" s="14"/>
      <x:c r="C29" s="14"/>
      <x:c r="D29" s="14"/>
      <x:c r="E29" s="14"/>
    </x:row>
    <x:row r="30">
      <x:c r="A30" s="14"/>
      <x:c r="B30" s="14"/>
      <x:c r="C30" s="14"/>
      <x:c r="D30" s="14"/>
      <x:c r="E30" s="14"/>
    </x:row>
  </x:sheetData>
  <x:conditionalFormatting sqref="E2:E11">
    <x:cfRule type="expression" dxfId="7" priority="1">
      <x:formula>E2="Bloquant"</x:formula>
    </x:cfRule>
    <x:cfRule type="expression" dxfId="8" priority="2">
      <x:formula>E2="Release"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ffea7f6fc44ec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5" hidden="0" customWidth="1"/>
    <x:col min="3" max="3" width="18" hidden="0" customWidth="1"/>
    <x:col min="4" max="4" width="16" hidden="0" customWidth="1"/>
  </x:cols>
  <x:sheetData>
    <x:row r="1" ht="30" customHeight="1">
      <x:c r="A1" s="40" t="str">
        <x:v>ID</x:v>
      </x:c>
      <x:c r="B1" s="40" t="str">
        <x:v>Action de lancement</x:v>
      </x:c>
      <x:c r="C1" s="40" t="str">
        <x:v>Échéance</x:v>
      </x:c>
      <x:c r="D1" s="40" t="str">
        <x:v>Statut</x:v>
      </x:c>
    </x:row>
    <x:row r="2">
      <x:c r="A2" s="14" t="str">
        <x:v>L-01</x:v>
      </x:c>
      <x:c r="B2" s="14" t="str">
        <x:v>Nommer officiellement les responsables de chaque rôle.</x:v>
      </x:c>
      <x:c r="C2" s="14" t="str">
        <x:v>Avant Sprint 0</x:v>
      </x:c>
      <x:c r="D2" s="14" t="str">
        <x:v>À faire</x:v>
      </x:c>
    </x:row>
    <x:row r="3">
      <x:c r="A3" s="14" t="str">
        <x:v>L-02</x:v>
      </x:c>
      <x:c r="B3" s="14" t="str">
        <x:v>Créer branches/repository/environnements dev-test-staging.</x:v>
      </x:c>
      <x:c r="C3" s="14" t="str">
        <x:v>Avant Sprint 0</x:v>
      </x:c>
      <x:c r="D3" s="14" t="str">
        <x:v>À faire</x:v>
      </x:c>
    </x:row>
    <x:row r="4">
      <x:c r="A4" s="14" t="str">
        <x:v>L-03</x:v>
      </x:c>
      <x:c r="B4" s="14" t="str">
        <x:v>Placer Dossier Maître V2 et Backlog V1 dans /docs/specifications du repo.</x:v>
      </x:c>
      <x:c r="C4" s="14" t="str">
        <x:v>Avant Sprint 0</x:v>
      </x:c>
      <x:c r="D4" s="14" t="str">
        <x:v>À faire</x:v>
      </x:c>
    </x:row>
    <x:row r="5">
      <x:c r="A5" s="14" t="str">
        <x:v>L-04</x:v>
      </x:c>
      <x:c r="B5" s="14" t="str">
        <x:v>Créer ADR-001 architecture et ADR-002 convention temps/calendrier.</x:v>
      </x:c>
      <x:c r="C5" s="14" t="str">
        <x:v>Sprint 0</x:v>
      </x:c>
      <x:c r="D5" s="14" t="str">
        <x:v>À faire</x:v>
      </x:c>
    </x:row>
    <x:row r="6">
      <x:c r="A6" s="14" t="str">
        <x:v>L-05</x:v>
      </x:c>
      <x:c r="B6" s="14" t="str">
        <x:v>Définir schéma DB initial et migration framework.</x:v>
      </x:c>
      <x:c r="C6" s="14" t="str">
        <x:v>Sprint 0</x:v>
      </x:c>
      <x:c r="D6" s="14" t="str">
        <x:v>À faire</x:v>
      </x:c>
    </x:row>
    <x:row r="7">
      <x:c r="A7" s="14" t="str">
        <x:v>L-06</x:v>
      </x:c>
      <x:c r="B7" s="14" t="str">
        <x:v>Créer OpenAPI v1 et nomenclature d’erreurs.</x:v>
      </x:c>
      <x:c r="C7" s="14" t="str">
        <x:v>Sprint 0</x:v>
      </x:c>
      <x:c r="D7" s="14" t="str">
        <x:v>À faire</x:v>
      </x:c>
    </x:row>
    <x:row r="8">
      <x:c r="A8" s="14" t="str">
        <x:v>L-07</x:v>
      </x:c>
      <x:c r="B8" s="14" t="str">
        <x:v>Mettre CI: lint + unit + integration + build.</x:v>
      </x:c>
      <x:c r="C8" s="14" t="str">
        <x:v>Sprint 0</x:v>
      </x:c>
      <x:c r="D8" s="14" t="str">
        <x:v>À faire</x:v>
      </x:c>
    </x:row>
    <x:row r="9">
      <x:c r="A9" s="14" t="str">
        <x:v>L-08</x:v>
      </x:c>
      <x:c r="B9" s="14" t="str">
        <x:v>Construire dataset de charge: 250 ressources / 10 000 réservations.</x:v>
      </x:c>
      <x:c r="C9" s="14" t="str">
        <x:v>Sprint 0</x:v>
      </x:c>
      <x:c r="D9" s="14" t="str">
        <x:v>À faire</x:v>
      </x:c>
    </x:row>
    <x:row r="10">
      <x:c r="A10" s="14" t="str">
        <x:v>L-09</x:v>
      </x:c>
      <x:c r="B10" s="14" t="str">
        <x:v>Créer tests contractuels règles week-end et quantité.</x:v>
      </x:c>
      <x:c r="C10" s="14" t="str">
        <x:v>Sprint 0</x:v>
      </x:c>
      <x:c r="D10" s="14" t="str">
        <x:v>À faire</x:v>
      </x:c>
    </x:row>
    <x:row r="11">
      <x:c r="A11" s="14" t="str">
        <x:v>L-10</x:v>
      </x:c>
      <x:c r="B11" s="14" t="str">
        <x:v>Interdire merge d’une story sans critères d’acceptation et QA associés.</x:v>
      </x:c>
      <x:c r="C11" s="14" t="str">
        <x:v>Permanent</x:v>
      </x:c>
      <x:c r="D11" s="14" t="str">
        <x:v>À faire</x:v>
      </x:c>
    </x:row>
    <x:row r="12">
      <x:c r="A12" s="14" t="str">
        <x:v>L-11</x:v>
      </x:c>
      <x:c r="B12" s="14" t="str">
        <x:v>Faire une démo de gate à la fin de chaque Sprint.</x:v>
      </x:c>
      <x:c r="C12" s="14" t="str">
        <x:v>Permanent</x:v>
      </x:c>
      <x:c r="D12" s="14" t="str">
        <x:v>À faire</x:v>
      </x:c>
    </x:row>
    <x:row r="13">
      <x:c r="A13" s="14" t="str">
        <x:v>L-12</x:v>
      </x:c>
      <x:c r="B13" s="14" t="str">
        <x:v>Tout changement métier après gel passe par une Change Request documentée.</x:v>
      </x:c>
      <x:c r="C13" s="14" t="str">
        <x:v>Permanent</x:v>
      </x:c>
      <x:c r="D13" s="14" t="str">
        <x:v>À faire</x:v>
      </x:c>
    </x:row>
    <x:row r="14">
      <x:c r="A14" s="14"/>
      <x:c r="B14" s="14"/>
      <x:c r="C14" s="14"/>
      <x:c r="D14" s="14"/>
    </x:row>
    <x:row r="15">
      <x:c r="A15" s="14"/>
      <x:c r="B15" s="14"/>
      <x:c r="C15" s="14"/>
      <x:c r="D15" s="14"/>
    </x:row>
    <x:row r="16">
      <x:c r="A16" s="14"/>
      <x:c r="B16" s="14"/>
      <x:c r="C16" s="14"/>
      <x:c r="D16" s="14"/>
    </x:row>
    <x:row r="17">
      <x:c r="A17" s="14"/>
      <x:c r="B17" s="14"/>
      <x:c r="C17" s="14"/>
      <x:c r="D17" s="14"/>
    </x:row>
    <x:row r="18">
      <x:c r="A18" s="14"/>
      <x:c r="B18" s="14"/>
      <x:c r="C18" s="14"/>
      <x:c r="D18" s="14"/>
    </x:row>
    <x:row r="19">
      <x:c r="A19" s="14"/>
      <x:c r="B19" s="14"/>
      <x:c r="C19" s="14"/>
      <x:c r="D19" s="14"/>
    </x:row>
    <x:row r="20">
      <x:c r="A20" s="14"/>
      <x:c r="B20" s="14"/>
      <x:c r="C20" s="14"/>
      <x:c r="D20" s="14"/>
    </x:row>
    <x:row r="21">
      <x:c r="A21" s="14"/>
      <x:c r="B21" s="14"/>
      <x:c r="C21" s="14"/>
      <x:c r="D21" s="14"/>
    </x:row>
    <x:row r="22">
      <x:c r="A22" s="14"/>
      <x:c r="B22" s="14"/>
      <x:c r="C22" s="14"/>
      <x:c r="D22" s="14"/>
    </x:row>
    <x:row r="23">
      <x:c r="A23" s="14"/>
      <x:c r="B23" s="14"/>
      <x:c r="C23" s="14"/>
      <x:c r="D23" s="14"/>
    </x:row>
    <x:row r="24">
      <x:c r="A24" s="14"/>
      <x:c r="B24" s="14"/>
      <x:c r="C24" s="14"/>
      <x:c r="D24" s="14"/>
    </x:row>
    <x:row r="25">
      <x:c r="A25" s="14"/>
      <x:c r="B25" s="14"/>
      <x:c r="C25" s="14"/>
      <x:c r="D25" s="14"/>
    </x:row>
    <x:row r="26">
      <x:c r="A26" s="14"/>
      <x:c r="B26" s="14"/>
      <x:c r="C26" s="14"/>
      <x:c r="D26" s="14"/>
    </x:row>
    <x:row r="27">
      <x:c r="A27" s="14"/>
      <x:c r="B27" s="14"/>
      <x:c r="C27" s="14"/>
      <x:c r="D27" s="14"/>
    </x:row>
    <x:row r="28">
      <x:c r="A28" s="14"/>
      <x:c r="B28" s="14"/>
      <x:c r="C28" s="14"/>
      <x:c r="D28" s="14"/>
    </x:row>
    <x:row r="29">
      <x:c r="A29" s="14"/>
      <x:c r="B29" s="14"/>
      <x:c r="C29" s="14"/>
      <x:c r="D29" s="14"/>
    </x:row>
    <x:row r="30">
      <x:c r="A30" s="14"/>
      <x:c r="B30" s="14"/>
      <x:c r="C30" s="14"/>
      <x:c r="D30" s="14"/>
    </x:row>
  </x:sheetData>
  <x:conditionalFormatting sqref="D2:D13">
    <x:cfRule type="expression" dxfId="5" priority="1">
      <x:formula>D2="Terminé"</x:formula>
    </x:cfRule>
    <x:cfRule type="expression" dxfId="6" priority="2">
      <x:formula>D2="Bloqué"</x:formula>
    </x:cfRule>
  </x:conditionalFormatting>
  <x:dataValidations count="1">
    <x:dataValidation type="list" sqref="D2:D13">
      <x:formula1>"À faire,En cours,Bloqué,Terminé"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736eb4e9414a0c"/>
  </x:tableParts>
</x:worksheet>
</file>